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Asumsi" state="visible" r:id="rId5"/>
    <sheet sheetId="3" name="Beban" state="visible" r:id="rId6"/>
    <sheet sheetId="4" name="StorageR2" state="visible" r:id="rId7"/>
    <sheet sheetId="5" name="Software" state="visible" r:id="rId8"/>
    <sheet sheetId="6" name="Server" state="visible" r:id="rId9"/>
    <sheet sheetId="7" name="Anggaran12Bln" state="visible" r:id="rId10"/>
    <sheet sheetId="8" name="Pembanding" state="visible" r:id="rId11"/>
  </sheets>
  <calcPr calcId="171027"/>
</workbook>
</file>

<file path=xl/sharedStrings.xml><?xml version="1.0" encoding="utf-8"?>
<sst xmlns="http://schemas.openxmlformats.org/spreadsheetml/2006/main" count="298" uniqueCount="275">
  <si>
    <t>umrohlovers.id — Perhitungan Kapasitas &amp; Anggaran Infrastruktur (Staging + Production)</t>
  </si>
  <si>
    <t>Pendamping dokumen: kapasitas-sistem-staging-production.md · ringkasan-pengajuan.md — 7 Juli 2026 · Aditira Jamhuri (CTO)</t>
  </si>
  <si>
    <t>Fase</t>
  </si>
  <si>
    <t>Periode</t>
  </si>
  <si>
    <t>Server (Rp/bln)</t>
  </si>
  <si>
    <t>Software (Rp/bln)</t>
  </si>
  <si>
    <t>TOTAL (Rp/bln)</t>
  </si>
  <si>
    <t>Pilot (≤ 2.000 akun)</t>
  </si>
  <si>
    <t>Agu–Okt 2026</t>
  </si>
  <si>
    <t>Launch Y1 (≤ 50 rb akun)</t>
  </si>
  <si>
    <t>Nov 2026–2027</t>
  </si>
  <si>
    <t>Scale Y3 (≤ 150 rb akun)</t>
  </si>
  <si>
    <t>2028</t>
  </si>
  <si>
    <t>Anggaran 12 bulan pertama (Agu 2026 – Jul 2027)</t>
  </si>
  <si>
    <t>Total proyeksi realisasi (termasuk buffer 10%)</t>
  </si>
  <si>
    <t>PLAFON diajukan untuk persetujuan</t>
  </si>
  <si>
    <t>Rasio total proyeksi terhadap alokasi infrastruktur PRD §14.3 tahun 2027</t>
  </si>
  <si>
    <t>Cara pakai: seluruh sel KUNING di sheet Asumsi adalah input — ubah nilainya (kurs, %DAU, harga, volume anchor) dan seluruh workbook menghitung ulang.</t>
  </si>
  <si>
    <t>Buka di Microsoft Excel / LibreOffice / Google Sheets agar formula terevaluasi. Metodologi &amp; justifikasi lengkap: kapasitas-sistem-staging-production.md.</t>
  </si>
  <si>
    <t>Asumsi &amp; Parameter — sel KUNING adalah input; ubah nilainya, seluruh workbook menghitung ulang</t>
  </si>
  <si>
    <t>Kode</t>
  </si>
  <si>
    <t>Parameter</t>
  </si>
  <si>
    <t>Nilai</t>
  </si>
  <si>
    <t>Satuan</t>
  </si>
  <si>
    <t>Catatan / Sensitivitas</t>
  </si>
  <si>
    <t>KURS</t>
  </si>
  <si>
    <t>Kurs USD → IDR</t>
  </si>
  <si>
    <t>Rp/USD</t>
  </si>
  <si>
    <t>Fluktuasi ditampung buffer 10%</t>
  </si>
  <si>
    <t>A1</t>
  </si>
  <si>
    <t>DAU sebagai % akun terdaftar</t>
  </si>
  <si>
    <t>%</t>
  </si>
  <si>
    <t>×2 → tetap &lt; 30% utilisasi Tier 1 (dokumen §7.1)</t>
  </si>
  <si>
    <t>A2</t>
  </si>
  <si>
    <t>Concurrent peak sebagai % DAU</t>
  </si>
  <si>
    <t>jam sibuk malam/akhir pekan</t>
  </si>
  <si>
    <t>A3</t>
  </si>
  <si>
    <t>RPS per user aktif</t>
  </si>
  <si>
    <t>RPS</t>
  </si>
  <si>
    <t>≈ 6 request/menit saat aktif</t>
  </si>
  <si>
    <t>A4</t>
  </si>
  <si>
    <t>Faktor lonjakan trafik</t>
  </si>
  <si>
    <t>×</t>
  </si>
  <si>
    <t>broadcast WA/radio, campaign; Munas 20× dianalisis dokumen §7.1</t>
  </si>
  <si>
    <t>A5</t>
  </si>
  <si>
    <t>CDN offload halaman publik</t>
  </si>
  <si>
    <t>konservatif; realita biasanya &gt; 85% untuk katalog</t>
  </si>
  <si>
    <t>KYC1</t>
  </si>
  <si>
    <t>Dokumen KYC per akun (4 dok × 1,5 MB)</t>
  </si>
  <si>
    <t>MB</t>
  </si>
  <si>
    <t>KTP, KK, paspor, selfie — terenkripsi</t>
  </si>
  <si>
    <t>EVI</t>
  </si>
  <si>
    <t>Ukuran e-Visa PDF per jamaah berangkat</t>
  </si>
  <si>
    <t>unduhan digerbang pelunasan</t>
  </si>
  <si>
    <t>R2P</t>
  </si>
  <si>
    <t>Harga R2 per GB per bulan</t>
  </si>
  <si>
    <t>USD</t>
  </si>
  <si>
    <t>egress gratis</t>
  </si>
  <si>
    <t>BUF</t>
  </si>
  <si>
    <t>Buffer anggaran</t>
  </si>
  <si>
    <t>baris tersendiri di Anggaran12Bln</t>
  </si>
  <si>
    <t>MAP1</t>
  </si>
  <si>
    <t>Sesi per DAU per bulan</t>
  </si>
  <si>
    <t>sesi</t>
  </si>
  <si>
    <t>MAP2</t>
  </si>
  <si>
    <t>% sesi membuka peta</t>
  </si>
  <si>
    <t>dokumen A9: 15–25%</t>
  </si>
  <si>
    <t>MAP3</t>
  </si>
  <si>
    <t>Harga Mapbox per 1.000 loads di atas free tier</t>
  </si>
  <si>
    <t>MAP4</t>
  </si>
  <si>
    <t>Free tier Mapbox</t>
  </si>
  <si>
    <t>loads/bln</t>
  </si>
  <si>
    <t>web GL loads</t>
  </si>
  <si>
    <t>MAP5</t>
  </si>
  <si>
    <t>Faktor mitigasi peta (thumbnail statis + lazy-load)</t>
  </si>
  <si>
    <t>1 = belum diterapkan; penerapan menurunkan ke ±0,4</t>
  </si>
  <si>
    <t>EML1</t>
  </si>
  <si>
    <t>Email per akun aktif per bulan</t>
  </si>
  <si>
    <t>email</t>
  </si>
  <si>
    <t>dokumen A10: 2–6; ≥4 menembus tier Scale lebih cepat</t>
  </si>
  <si>
    <t>EML2</t>
  </si>
  <si>
    <t>Akun aktif = DAU ×</t>
  </si>
  <si>
    <t>proxy MAU</t>
  </si>
  <si>
    <t>BKP</t>
  </si>
  <si>
    <t>Faktor backup (× ukuran DB, retensi 30 hari)</t>
  </si>
  <si>
    <t>WAL 15 menit + basebackup harian</t>
  </si>
  <si>
    <t>Anchor volume (PRD §13–14)</t>
  </si>
  <si>
    <t>Pilot Agu–Okt 2026</t>
  </si>
  <si>
    <t>Launch Y1 Nov 2026–2027</t>
  </si>
  <si>
    <t>Scale Y3 2028</t>
  </si>
  <si>
    <t>AKUN</t>
  </si>
  <si>
    <t>Akun terdaftar</t>
  </si>
  <si>
    <t>BRKT</t>
  </si>
  <si>
    <t>Jamaah berangkat (kumulatif, basis e-Visa)</t>
  </si>
  <si>
    <t>MED</t>
  </si>
  <si>
    <t>Media platform: cover paket, foto item mitra, avatar (GB)</t>
  </si>
  <si>
    <t>DB</t>
  </si>
  <si>
    <t>Proyeksi ukuran database (GB)</t>
  </si>
  <si>
    <t>Model Beban — formula eksplisit dari anchor PRD §13–14 (dokumen §3)</t>
  </si>
  <si>
    <t>Metrik</t>
  </si>
  <si>
    <t>Formula</t>
  </si>
  <si>
    <t>Launch Y1 2027</t>
  </si>
  <si>
    <t>anchor PRD (sheet Asumsi)</t>
  </si>
  <si>
    <t>DAU</t>
  </si>
  <si>
    <t>akun × A1</t>
  </si>
  <si>
    <t>Concurrent peak</t>
  </si>
  <si>
    <t>DAU × A2</t>
  </si>
  <si>
    <t>RPS nominal</t>
  </si>
  <si>
    <t>concurrent × A3</t>
  </si>
  <si>
    <t>RPS target sizing</t>
  </si>
  <si>
    <t>nominal × A4 (lonjakan)</t>
  </si>
  <si>
    <t>Kapasitas komponen (acuan praktik industri — konservatif; dokumen §3.3)</t>
  </si>
  <si>
    <t>Komponen</t>
  </si>
  <si>
    <t>Kapasitas aman per unit</t>
  </si>
  <si>
    <t>Catatan</t>
  </si>
  <si>
    <t>Go/Echo BE</t>
  </si>
  <si>
    <t>≥ 2.000 RPS/core</t>
  </si>
  <si>
    <t>praktis bukan bottleneck sampai Y3</t>
  </si>
  <si>
    <t>Next.js SSR</t>
  </si>
  <si>
    <t>50–150 RPS/core</t>
  </si>
  <si>
    <t>dimitigasi CDN offload (A5)</t>
  </si>
  <si>
    <t>PostgreSQL 16</t>
  </si>
  <si>
    <t>500–1.000 tx tulis/s</t>
  </si>
  <si>
    <t>pool koneksi + IOPS NVMe; read diserap Redis</t>
  </si>
  <si>
    <t>Redis 7</t>
  </si>
  <si>
    <t>50.000+ ops/s</t>
  </si>
  <si>
    <t>bukan bottleneck di skala manapun</t>
  </si>
  <si>
    <t>Tervalidasi uji nyata: k6 1.000 virtual users LULUS pada mesin uji 2 vCPU — bottleneck teridentifikasi: pool koneksi DB (25) → tuning pertama, bukan beli server besar.</t>
  </si>
  <si>
    <t>Kesimpulan: throughput bukan pendorong biaya — pendorongnya availability + keamanan data dana jamaah (isolasi, backup, enkripsi).</t>
  </si>
  <si>
    <t>Storage Cloudflare R2 — dokumen KYC, e-Visa, media, backup DB (dokumen §4.1); egress GRATIS</t>
  </si>
  <si>
    <t>Item</t>
  </si>
  <si>
    <t>Pilot (GB)</t>
  </si>
  <si>
    <t>Y1 (GB)</t>
  </si>
  <si>
    <t>Y3 (GB)</t>
  </si>
  <si>
    <t>Dokumen KYC</t>
  </si>
  <si>
    <t>AKUN × KYC1 ÷ 1024</t>
  </si>
  <si>
    <t>Media platform (anchor)</t>
  </si>
  <si>
    <t>cover paket, foto item, avatar</t>
  </si>
  <si>
    <t>e-Visa PDF</t>
  </si>
  <si>
    <t>BRKT × EVI ÷ 1024</t>
  </si>
  <si>
    <t>Backup DB (retensi 30 hari)</t>
  </si>
  <si>
    <t>DB × BKP</t>
  </si>
  <si>
    <t>TOTAL STORAGE (GB)</t>
  </si>
  <si>
    <t>jumlah baris 4–7</t>
  </si>
  <si>
    <t>Biaya R2 (USD/bln)</t>
  </si>
  <si>
    <t>total × R2P</t>
  </si>
  <si>
    <t>Biaya R2 (Rp/bln)</t>
  </si>
  <si>
    <t>× KURS</t>
  </si>
  <si>
    <t>Catatan: R2 sekaligus tujuan backup database (WAL + basebackup) — off-site &amp; tergeoreplikasi bawaan; server fisik khusus backup tidak diperlukan (dokumen §4.1, §5.2).</t>
  </si>
  <si>
    <t>Inventaris Langganan Software — LENGKAP, termasuk yang Rp 0 (dokumen §8.1); titik tengah realistis per bulan</t>
  </si>
  <si>
    <t>Layanan</t>
  </si>
  <si>
    <t>Basis perhitungan</t>
  </si>
  <si>
    <t>Pilot (Rp/bln)</t>
  </si>
  <si>
    <t>Y1 (Rp/bln)</t>
  </si>
  <si>
    <t>Y3 (Rp/bln)</t>
  </si>
  <si>
    <t>Cloudflare (plan)</t>
  </si>
  <si>
    <t>Free → Pro $20/bln mulai Y1</t>
  </si>
  <si>
    <t>Y3 bisa naik Business bila perlu</t>
  </si>
  <si>
    <t>Cloudflare R2</t>
  </si>
  <si>
    <t>sheet StorageR2 (KYC + e-Visa + media + backup)</t>
  </si>
  <si>
    <t>Mapbox</t>
  </si>
  <si>
    <t>MAX(0; loads efektif − free tier) / 1000 × MAP3 × KURS</t>
  </si>
  <si>
    <t>loads efektif di baris 16 (termasuk faktor mitigasi MAP5)</t>
  </si>
  <si>
    <t>Email transaksional (Resend → SES)</t>
  </si>
  <si>
    <t>tier dari volume email di baris 17</t>
  </si>
  <si>
    <t>Free 3rb → Pro $20 → Scale $90 → SES $0,10/1.000</t>
  </si>
  <si>
    <t>Sentry (error monitoring)</t>
  </si>
  <si>
    <t>Free → Team ~$26 (Y1) → Business ~$80 (Y3)</t>
  </si>
  <si>
    <t>Uptime monitor (+ APM di Y3)</t>
  </si>
  <si>
    <t>Free → ~$25</t>
  </si>
  <si>
    <t>UptimeRobot free → Better Stack</t>
  </si>
  <si>
    <t>Domain umrohlovers.id</t>
  </si>
  <si>
    <t>~Rp 500 rb/tahun ÷ 12</t>
  </si>
  <si>
    <t>Container registry</t>
  </si>
  <si>
    <t>GHCR gratis</t>
  </si>
  <si>
    <t>Docker Hub Pro ~$11 bila diperlukan</t>
  </si>
  <si>
    <t>Jenkins · GitHub · Google OAuth · data BPS · gopdf · Mapbox GL OSS stack · PostgreSQL · Redis</t>
  </si>
  <si>
    <t>self-host / free plan / open-source</t>
  </si>
  <si>
    <t>tercantum agar terlihat tidak ada yang terlewat</t>
  </si>
  <si>
    <t>SUBTOTAL SOFTWARE</t>
  </si>
  <si>
    <t>jumlah baris 4–12</t>
  </si>
  <si>
    <t>Metrik volume (dasar formula di atas)</t>
  </si>
  <si>
    <t>Pilot</t>
  </si>
  <si>
    <t>Y1</t>
  </si>
  <si>
    <t>Y3</t>
  </si>
  <si>
    <t>Mapbox loads efektif / bln</t>
  </si>
  <si>
    <t>DAU × MAP1 × MAP2 × MAP5</t>
  </si>
  <si>
    <t>free tier 50 rb loads (MAP4)</t>
  </si>
  <si>
    <t>Volume email / bln</t>
  </si>
  <si>
    <t>DAU × EML2 × EML1</t>
  </si>
  <si>
    <t>&gt; 100 rb/bln → migrasi SES memangkas ~80% (dokumen A10)</t>
  </si>
  <si>
    <t>Spesifikasi &amp; Harga Server per Tier (dokumen §5) — rentang = harga pasar 4 provider (sheet Pembanding)</t>
  </si>
  <si>
    <t>Spesifikasi</t>
  </si>
  <si>
    <t>Min (Rp/bln)</t>
  </si>
  <si>
    <t>Max (Rp/bln)</t>
  </si>
  <si>
    <t>Titik tengah (Rp/bln)</t>
  </si>
  <si>
    <t>VPS Staging dedicated (semua fase)</t>
  </si>
  <si>
    <t>2 vCPU / 4 GB / 80 GB NVMe — stack lengkap + Jenkins CI/CD; review internal &amp; UAT</t>
  </si>
  <si>
    <t>Production Tier 1 — Pilot</t>
  </si>
  <si>
    <t>4 vCPU / 8 GB / 160 GB NVMe, DC Indonesia (UU PDP data residency)</t>
  </si>
  <si>
    <t>Production Tier 2 — Launch Y1</t>
  </si>
  <si>
    <t>App node 8 vCPU/16 GB + DB node terpisah 4 vCPU/8 GB NVMe + PgBouncer</t>
  </si>
  <si>
    <t>Production Tier 3 — Scale Y3</t>
  </si>
  <si>
    <t>2× app + LB + managed Postgres HA + read replica + Redis dedicated</t>
  </si>
  <si>
    <t>VPS Staging — upgrade Y3 (opsional)</t>
  </si>
  <si>
    <t>4 vCPU / 8 GB bila antrean build memicu trigger</t>
  </si>
  <si>
    <t>Total server per fase (titik tengah)</t>
  </si>
  <si>
    <t>Komposisi</t>
  </si>
  <si>
    <t>Rp/bln</t>
  </si>
  <si>
    <t>Staging + Production Tier 1</t>
  </si>
  <si>
    <t>Staging + Production Tier 2</t>
  </si>
  <si>
    <t>Staging (upgrade) + Production Tier 3</t>
  </si>
  <si>
    <t>Prinsip (dokumen §5–§6): upgrade antar tier dipicu METRIK (CPU &gt;60% sustained, p95 &gt;400 ms, pool DB &gt;70%), bukan kalender; DB pisah node di Tier 2; HA + replica di Tier 3; backup = R2 off-site (bukan server fisik).</t>
  </si>
  <si>
    <t>Anggaran 12 Bulan Pertama — Agustus 2026 s.d. Juli 2027 (dokumen §8.3)</t>
  </si>
  <si>
    <t>Pos</t>
  </si>
  <si>
    <t>Perhitungan</t>
  </si>
  <si>
    <t>Jumlah (Rp)</t>
  </si>
  <si>
    <t>Staging dedicated, 12 bulan</t>
  </si>
  <si>
    <t>12 × titik tengah staging</t>
  </si>
  <si>
    <t>Production Pilot + software, 3 bulan (Agu–Okt 2026)</t>
  </si>
  <si>
    <t>3 × (Prod Tier 1 + subtotal software Pilot)</t>
  </si>
  <si>
    <t>Production Launch Y1 + software, 9 bulan (Nov 2026–Jul 2027)</t>
  </si>
  <si>
    <t>9 × (Prod Tier 2 + subtotal software Y1)</t>
  </si>
  <si>
    <t>One-time: hardening, uji restore, k6 gate go-live</t>
  </si>
  <si>
    <t>jam kerja internal, tanpa lisensi</t>
  </si>
  <si>
    <t>Subtotal</t>
  </si>
  <si>
    <t>jumlah pos di atas</t>
  </si>
  <si>
    <t>Buffer (BUF)</t>
  </si>
  <si>
    <t>subtotal × buffer (Asumsi BUF)</t>
  </si>
  <si>
    <t>TOTAL PROYEKSI 12 BULAN</t>
  </si>
  <si>
    <t>subtotal + buffer</t>
  </si>
  <si>
    <t>PLAFON DIAJUKAN</t>
  </si>
  <si>
    <t>pembulatan ke atas untuk persetujuan</t>
  </si>
  <si>
    <t>Ruang tersisa terhadap plafon</t>
  </si>
  <si>
    <t>plafon − total proyeksi</t>
  </si>
  <si>
    <t>Uji kewajaran terhadap alokasi PRD §14.3</t>
  </si>
  <si>
    <t>Alokasi infrastruktur PRD 2026 (parsial)</t>
  </si>
  <si>
    <t>Rp 50 juta</t>
  </si>
  <si>
    <t>Alokasi infrastruktur PRD 2027</t>
  </si>
  <si>
    <t>Rp 300 juta</t>
  </si>
  <si>
    <t>Rasio total proyeksi vs alokasi 2026</t>
  </si>
  <si>
    <t>total ÷ alokasi 2026</t>
  </si>
  <si>
    <t>Rasio total proyeksi vs alokasi 2027</t>
  </si>
  <si>
    <t>total ÷ alokasi 2027</t>
  </si>
  <si>
    <t>Mekanisme pengendalian: bila realisasi mendekati plafon, pengeluaran berikutnya kembali dimintakan persetujuan — anggaran tidak dapat terlampaui tanpa sepengetahuan stakeholder.</t>
  </si>
  <si>
    <t>Pembanding Harga Pasar — transparansi harga (dokumen §5.5); harga publik per Juli 2026, WAJIB verifikasi ulang saat pengadaan</t>
  </si>
  <si>
    <t>Provider</t>
  </si>
  <si>
    <t>Staging 2 vCPU/4 GB (Rp/bln)</t>
  </si>
  <si>
    <t>Production 4 vCPU/8 GB (Rp/bln)</t>
  </si>
  <si>
    <t>IDCloudHost (Indonesia)</t>
  </si>
  <si>
    <t>≈ 175–300 rb</t>
  </si>
  <si>
    <t>≈ 400–600 rb</t>
  </si>
  <si>
    <t>ekstrapolasi harga publik 2 vCPU/2 GB Rp 87–149 rb; lokasi Indonesia ✓</t>
  </si>
  <si>
    <t>Biznet Gio (Indonesia)</t>
  </si>
  <si>
    <t>≈ 200–300 rb</t>
  </si>
  <si>
    <t>lokasi Indonesia ✓</t>
  </si>
  <si>
    <t>DigitalOcean (Singapura)</t>
  </si>
  <si>
    <t>$24–32 (≈ Rp 390–520 rb)</t>
  </si>
  <si>
    <t>$48–63 (≈ Rp 780 rb–1 jt)</t>
  </si>
  <si>
    <t>tooling bagus; data PII keluar RI → hanya cadangan</t>
  </si>
  <si>
    <t>Vultr (Singapura)</t>
  </si>
  <si>
    <t>$20–24 (≈ Rp 330–390 rb)</t>
  </si>
  <si>
    <t>$40–48 (≈ Rp 650–780 rb)</t>
  </si>
  <si>
    <t>idem</t>
  </si>
  <si>
    <t>Rentang proposal (staging Rp 150–350 rb · production Rp 400–800 rb) = harga pasar apa adanya, tanpa margin. Preferensi provider Indonesia: data residency UU PDP + latency.</t>
  </si>
  <si>
    <t>Sumber harga publik:</t>
  </si>
  <si>
    <t>IDCloudHost</t>
  </si>
  <si>
    <t>https://idcloudhost.com/pricing/</t>
  </si>
  <si>
    <t>DigitalOcean Droplets</t>
  </si>
  <si>
    <t>https://www.digitalocean.com/pricing/droplets</t>
  </si>
  <si>
    <t>https://www.mapbox.com/pricing</t>
  </si>
  <si>
    <t>Resend</t>
  </si>
  <si>
    <t>https://resend.com/pricing</t>
  </si>
  <si>
    <t>Cloudflare R2 &amp; Pro, Sentry, Docker Hub</t>
  </si>
  <si>
    <t>halaman pricing publik masing-masing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</si>
</sst>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Rp &quot;#,##0"/>
    <numFmt numFmtId="165" formatCode="#,##0.0"/>
    <numFmt numFmtId="166" formatCode="&quot;$&quot;#,##0.00"/>
  </numFmts>
  <fonts count="6" x14ac:knownFonts="1">
    <font>
      <color theme="1"/>
      <family val="2"/>
      <scheme val="minor"/>
      <sz val="11"/>
      <name val="Calibri"/>
    </font>
    <font>
      <b/>
      <sz val="13"/>
    </font>
    <font>
      <i/>
      <color rgb="FF666666"/>
    </font>
    <font>
      <b/>
    </font>
    <font>
      <b/>
      <sz val="12"/>
    </font>
    <font>
      <i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4" fontId="0" fillId="0" borderId="0" xfId="0" applyNumberFormat="1"/>
    <xf numFmtId="0" fontId="3" fillId="2" borderId="0" xfId="0" applyFont="1" applyFill="1"/>
    <xf numFmtId="164" fontId="3" fillId="0" borderId="0" xfId="0" applyNumberFormat="1" applyFont="1"/>
    <xf numFmtId="0" fontId="3" fillId="3" borderId="2" xfId="0" applyFont="1" applyFill="1" applyBorder="1"/>
    <xf numFmtId="164" fontId="3" fillId="3" borderId="2" xfId="0" applyNumberFormat="1" applyFont="1" applyFill="1" applyBorder="1"/>
    <xf numFmtId="9" fontId="3" fillId="0" borderId="0" xfId="0" applyNumberFormat="1" applyFont="1"/>
    <xf numFmtId="0" fontId="4" fillId="0" borderId="0" xfId="0" applyFont="1"/>
    <xf numFmtId="3" fontId="0" fillId="3" borderId="0" xfId="0" applyNumberFormat="1" applyFill="1"/>
    <xf numFmtId="9" fontId="0" fillId="3" borderId="0" xfId="0" applyNumberFormat="1" applyFill="1"/>
    <xf numFmtId="0" fontId="0" fillId="3" borderId="0" xfId="0" applyFill="1"/>
    <xf numFmtId="3" fontId="0" fillId="0" borderId="0" xfId="0" applyNumberFormat="1"/>
    <xf numFmtId="0" fontId="3" fillId="0" borderId="0" xfId="0" applyFont="1"/>
    <xf numFmtId="3" fontId="3" fillId="0" borderId="0" xfId="0" applyNumberFormat="1" applyFont="1"/>
    <xf numFmtId="0" fontId="5" fillId="0" borderId="0" xfId="0" applyFont="1" applyAlignment="1">
      <alignment wrapText="1"/>
    </xf>
    <xf numFmtId="165" fontId="0" fillId="0" borderId="0" xfId="0" applyNumberFormat="1"/>
    <xf numFmtId="165" fontId="3" fillId="0" borderId="0" xfId="0" applyNumberFormat="1" applyFont="1"/>
    <xf numFmtId="166" fontId="0" fillId="0" borderId="0" xfId="0" applyNumberFormat="1"/>
    <xf numFmtId="0" fontId="3" fillId="4" borderId="0" xfId="0" applyFont="1" applyFill="1"/>
    <xf numFmtId="164" fontId="3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46" customWidth="1"/>
    <col min="2" max="2" width="18" customWidth="1"/>
    <col min="3" max="5" width="2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t="s">
        <v>7</v>
      </c>
      <c r="B5" t="s">
        <v>8</v>
      </c>
      <c r="C5" s="4">
        <f>Server!E12</f>
      </c>
      <c r="D5" s="4">
        <f>Software!C13</f>
      </c>
      <c r="E5" s="4">
        <f>C5+D5</f>
      </c>
    </row>
    <row r="6" spans="1:5" x14ac:dyDescent="0.25">
      <c r="A6" t="s">
        <v>9</v>
      </c>
      <c r="B6" t="s">
        <v>10</v>
      </c>
      <c r="C6" s="4">
        <f>Server!E13</f>
      </c>
      <c r="D6" s="4">
        <f>Software!D13</f>
      </c>
      <c r="E6" s="4">
        <f>C6+D6</f>
      </c>
    </row>
    <row r="7" spans="1:5" x14ac:dyDescent="0.25">
      <c r="A7" t="s">
        <v>11</v>
      </c>
      <c r="B7" t="s">
        <v>12</v>
      </c>
      <c r="C7" s="4">
        <f>Server!E14</f>
      </c>
      <c r="D7" s="4">
        <f>Software!E13</f>
      </c>
      <c r="E7" s="4">
        <f>C7+D7</f>
      </c>
    </row>
    <row r="9" spans="1:5" x14ac:dyDescent="0.25">
      <c r="A9" s="5" t="s">
        <v>13</v>
      </c>
      <c r="B9" s="5"/>
      <c r="C9" s="5"/>
      <c r="D9" s="5"/>
      <c r="E9" s="5"/>
    </row>
    <row r="10" spans="1:3" x14ac:dyDescent="0.25">
      <c r="A10" t="s">
        <v>14</v>
      </c>
      <c r="C10" s="6">
        <f>Anggaran12Bln!C10</f>
      </c>
    </row>
    <row r="11" spans="1:3" x14ac:dyDescent="0.25">
      <c r="A11" s="7" t="s">
        <v>15</v>
      </c>
      <c r="B11" s="7"/>
      <c r="C11" s="8">
        <f>Anggaran12Bln!C11</f>
      </c>
    </row>
    <row r="12" spans="1:3" x14ac:dyDescent="0.25">
      <c r="A12" t="s">
        <v>16</v>
      </c>
      <c r="C12" s="9">
        <f>Anggaran12Bln!C18</f>
      </c>
    </row>
    <row r="14" spans="1:1" x14ac:dyDescent="0.25">
      <c r="A14" s="2" t="s">
        <v>17</v>
      </c>
    </row>
    <row r="15" spans="1:1" x14ac:dyDescent="0.25">
      <c r="A15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10" customWidth="1"/>
    <col min="2" max="2" width="52" customWidth="1"/>
    <col min="3" max="4" width="24" customWidth="1"/>
    <col min="5" max="5" width="56" customWidth="1"/>
  </cols>
  <sheetData>
    <row r="1" spans="1:5" x14ac:dyDescent="0.25">
      <c r="A1" s="10" t="s">
        <v>19</v>
      </c>
      <c r="B1" s="10"/>
      <c r="C1" s="10"/>
      <c r="D1" s="10"/>
      <c r="E1" s="10"/>
    </row>
    <row r="3" spans="1:5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</row>
    <row r="4" spans="1:5" x14ac:dyDescent="0.25">
      <c r="A4" t="s">
        <v>25</v>
      </c>
      <c r="B4" t="s">
        <v>26</v>
      </c>
      <c r="C4" s="11">
        <v>16000</v>
      </c>
      <c r="D4" t="s">
        <v>27</v>
      </c>
      <c r="E4" t="s">
        <v>28</v>
      </c>
    </row>
    <row r="5" spans="1:5" x14ac:dyDescent="0.25">
      <c r="A5" t="s">
        <v>29</v>
      </c>
      <c r="B5" t="s">
        <v>30</v>
      </c>
      <c r="C5" s="12">
        <v>0.1</v>
      </c>
      <c r="D5" t="s">
        <v>31</v>
      </c>
      <c r="E5" t="s">
        <v>32</v>
      </c>
    </row>
    <row r="6" spans="1:5" x14ac:dyDescent="0.25">
      <c r="A6" t="s">
        <v>33</v>
      </c>
      <c r="B6" t="s">
        <v>34</v>
      </c>
      <c r="C6" s="12">
        <v>0.1</v>
      </c>
      <c r="D6" t="s">
        <v>31</v>
      </c>
      <c r="E6" t="s">
        <v>35</v>
      </c>
    </row>
    <row r="7" spans="1:5" x14ac:dyDescent="0.25">
      <c r="A7" t="s">
        <v>36</v>
      </c>
      <c r="B7" t="s">
        <v>37</v>
      </c>
      <c r="C7" s="13">
        <v>0.1</v>
      </c>
      <c r="D7" t="s">
        <v>38</v>
      </c>
      <c r="E7" t="s">
        <v>39</v>
      </c>
    </row>
    <row r="8" spans="1:5" x14ac:dyDescent="0.25">
      <c r="A8" t="s">
        <v>40</v>
      </c>
      <c r="B8" t="s">
        <v>41</v>
      </c>
      <c r="C8" s="13">
        <v>10</v>
      </c>
      <c r="D8" t="s">
        <v>42</v>
      </c>
      <c r="E8" t="s">
        <v>43</v>
      </c>
    </row>
    <row r="9" spans="1:5" x14ac:dyDescent="0.25">
      <c r="A9" t="s">
        <v>44</v>
      </c>
      <c r="B9" t="s">
        <v>45</v>
      </c>
      <c r="C9" s="12">
        <v>0.7</v>
      </c>
      <c r="D9" t="s">
        <v>31</v>
      </c>
      <c r="E9" t="s">
        <v>46</v>
      </c>
    </row>
    <row r="10" spans="1:5" x14ac:dyDescent="0.25">
      <c r="A10" t="s">
        <v>47</v>
      </c>
      <c r="B10" t="s">
        <v>48</v>
      </c>
      <c r="C10" s="13">
        <v>6</v>
      </c>
      <c r="D10" t="s">
        <v>49</v>
      </c>
      <c r="E10" t="s">
        <v>50</v>
      </c>
    </row>
    <row r="11" spans="1:5" x14ac:dyDescent="0.25">
      <c r="A11" t="s">
        <v>51</v>
      </c>
      <c r="B11" t="s">
        <v>52</v>
      </c>
      <c r="C11" s="13">
        <v>0.5</v>
      </c>
      <c r="D11" t="s">
        <v>49</v>
      </c>
      <c r="E11" t="s">
        <v>53</v>
      </c>
    </row>
    <row r="12" spans="1:5" x14ac:dyDescent="0.25">
      <c r="A12" t="s">
        <v>54</v>
      </c>
      <c r="B12" t="s">
        <v>55</v>
      </c>
      <c r="C12" s="13">
        <v>0.015</v>
      </c>
      <c r="D12" t="s">
        <v>56</v>
      </c>
      <c r="E12" t="s">
        <v>57</v>
      </c>
    </row>
    <row r="13" spans="1:5" x14ac:dyDescent="0.25">
      <c r="A13" t="s">
        <v>58</v>
      </c>
      <c r="B13" t="s">
        <v>59</v>
      </c>
      <c r="C13" s="12">
        <v>0.1</v>
      </c>
      <c r="D13" t="s">
        <v>31</v>
      </c>
      <c r="E13" t="s">
        <v>60</v>
      </c>
    </row>
    <row r="14" spans="1:4" x14ac:dyDescent="0.25">
      <c r="A14" t="s">
        <v>61</v>
      </c>
      <c r="B14" t="s">
        <v>62</v>
      </c>
      <c r="C14" s="13">
        <v>30</v>
      </c>
      <c r="D14" t="s">
        <v>63</v>
      </c>
    </row>
    <row r="15" spans="1:5" x14ac:dyDescent="0.25">
      <c r="A15" t="s">
        <v>64</v>
      </c>
      <c r="B15" t="s">
        <v>65</v>
      </c>
      <c r="C15" s="12">
        <v>0.2</v>
      </c>
      <c r="D15" t="s">
        <v>31</v>
      </c>
      <c r="E15" t="s">
        <v>66</v>
      </c>
    </row>
    <row r="16" spans="1:4" x14ac:dyDescent="0.25">
      <c r="A16" t="s">
        <v>67</v>
      </c>
      <c r="B16" t="s">
        <v>68</v>
      </c>
      <c r="C16" s="13">
        <v>5</v>
      </c>
      <c r="D16" t="s">
        <v>56</v>
      </c>
    </row>
    <row r="17" spans="1:5" x14ac:dyDescent="0.25">
      <c r="A17" t="s">
        <v>69</v>
      </c>
      <c r="B17" t="s">
        <v>70</v>
      </c>
      <c r="C17" s="11">
        <v>50000</v>
      </c>
      <c r="D17" t="s">
        <v>71</v>
      </c>
      <c r="E17" t="s">
        <v>72</v>
      </c>
    </row>
    <row r="18" spans="1:5" x14ac:dyDescent="0.25">
      <c r="A18" t="s">
        <v>73</v>
      </c>
      <c r="B18" t="s">
        <v>74</v>
      </c>
      <c r="C18" s="13">
        <v>1</v>
      </c>
      <c r="D18" t="s">
        <v>42</v>
      </c>
      <c r="E18" t="s">
        <v>75</v>
      </c>
    </row>
    <row r="19" spans="1:5" x14ac:dyDescent="0.25">
      <c r="A19" t="s">
        <v>76</v>
      </c>
      <c r="B19" t="s">
        <v>77</v>
      </c>
      <c r="C19" s="13">
        <v>3</v>
      </c>
      <c r="D19" t="s">
        <v>78</v>
      </c>
      <c r="E19" t="s">
        <v>79</v>
      </c>
    </row>
    <row r="20" spans="1:5" x14ac:dyDescent="0.25">
      <c r="A20" t="s">
        <v>80</v>
      </c>
      <c r="B20" t="s">
        <v>81</v>
      </c>
      <c r="C20" s="13">
        <v>3</v>
      </c>
      <c r="D20" t="s">
        <v>42</v>
      </c>
      <c r="E20" t="s">
        <v>82</v>
      </c>
    </row>
    <row r="21" spans="1:5" x14ac:dyDescent="0.25">
      <c r="A21" t="s">
        <v>83</v>
      </c>
      <c r="B21" t="s">
        <v>84</v>
      </c>
      <c r="C21" s="13">
        <v>2</v>
      </c>
      <c r="D21" t="s">
        <v>42</v>
      </c>
      <c r="E21" t="s">
        <v>85</v>
      </c>
    </row>
    <row r="23" spans="1:5" x14ac:dyDescent="0.25">
      <c r="A23" s="5" t="s">
        <v>86</v>
      </c>
      <c r="B23" s="5"/>
      <c r="C23" s="5" t="s">
        <v>87</v>
      </c>
      <c r="D23" s="5" t="s">
        <v>88</v>
      </c>
      <c r="E23" s="5" t="s">
        <v>89</v>
      </c>
    </row>
    <row r="24" spans="1:5" x14ac:dyDescent="0.25">
      <c r="A24" t="s">
        <v>90</v>
      </c>
      <c r="B24" t="s">
        <v>91</v>
      </c>
      <c r="C24" s="11">
        <v>2000</v>
      </c>
      <c r="D24" s="11">
        <v>50000</v>
      </c>
      <c r="E24" s="11">
        <v>150000</v>
      </c>
    </row>
    <row r="25" spans="1:5" x14ac:dyDescent="0.25">
      <c r="A25" t="s">
        <v>92</v>
      </c>
      <c r="B25" t="s">
        <v>93</v>
      </c>
      <c r="C25" s="11">
        <v>500</v>
      </c>
      <c r="D25" s="11">
        <v>12000</v>
      </c>
      <c r="E25" s="11">
        <v>50000</v>
      </c>
    </row>
    <row r="26" spans="1:5" x14ac:dyDescent="0.25">
      <c r="A26" t="s">
        <v>94</v>
      </c>
      <c r="B26" t="s">
        <v>95</v>
      </c>
      <c r="C26" s="13">
        <v>2</v>
      </c>
      <c r="D26" s="13">
        <v>30</v>
      </c>
      <c r="E26" s="13">
        <v>100</v>
      </c>
    </row>
    <row r="27" spans="1:5" x14ac:dyDescent="0.25">
      <c r="A27" t="s">
        <v>96</v>
      </c>
      <c r="B27" t="s">
        <v>97</v>
      </c>
      <c r="C27" s="13">
        <v>1</v>
      </c>
      <c r="D27" s="13">
        <v>10</v>
      </c>
      <c r="E27" s="13">
        <v>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26" customWidth="1"/>
    <col min="2" max="2" width="36" customWidth="1"/>
    <col min="3" max="5" width="22" customWidth="1"/>
  </cols>
  <sheetData>
    <row r="1" spans="1:5" x14ac:dyDescent="0.25">
      <c r="A1" s="10" t="s">
        <v>98</v>
      </c>
      <c r="B1" s="10"/>
      <c r="C1" s="10"/>
      <c r="D1" s="10"/>
      <c r="E1" s="10"/>
    </row>
    <row r="3" spans="1:5" x14ac:dyDescent="0.25">
      <c r="A3" s="3" t="s">
        <v>99</v>
      </c>
      <c r="B3" s="3" t="s">
        <v>100</v>
      </c>
      <c r="C3" s="3" t="s">
        <v>87</v>
      </c>
      <c r="D3" s="3" t="s">
        <v>101</v>
      </c>
      <c r="E3" s="3" t="s">
        <v>89</v>
      </c>
    </row>
    <row r="4" spans="1:5" x14ac:dyDescent="0.25">
      <c r="A4" t="s">
        <v>91</v>
      </c>
      <c r="B4" t="s">
        <v>102</v>
      </c>
      <c r="C4" s="14">
        <f>Asumsi!C24</f>
      </c>
      <c r="D4" s="14">
        <f>Asumsi!D24</f>
      </c>
      <c r="E4" s="14">
        <f>Asumsi!E24</f>
      </c>
    </row>
    <row r="5" spans="1:5" x14ac:dyDescent="0.25">
      <c r="A5" t="s">
        <v>103</v>
      </c>
      <c r="B5" t="s">
        <v>104</v>
      </c>
      <c r="C5" s="14">
        <f>C4*Asumsi!$C$5</f>
      </c>
      <c r="D5" s="14">
        <f>D4*Asumsi!$C$5</f>
      </c>
      <c r="E5" s="14">
        <f>E4*Asumsi!$C$5</f>
      </c>
    </row>
    <row r="6" spans="1:5" x14ac:dyDescent="0.25">
      <c r="A6" t="s">
        <v>105</v>
      </c>
      <c r="B6" t="s">
        <v>106</v>
      </c>
      <c r="C6" s="14">
        <f>C5*Asumsi!$C$6</f>
      </c>
      <c r="D6" s="14">
        <f>D5*Asumsi!$C$6</f>
      </c>
      <c r="E6" s="14">
        <f>E5*Asumsi!$C$6</f>
      </c>
    </row>
    <row r="7" spans="1:5" x14ac:dyDescent="0.25">
      <c r="A7" t="s">
        <v>107</v>
      </c>
      <c r="B7" t="s">
        <v>108</v>
      </c>
      <c r="C7" s="14">
        <f>C6*Asumsi!$C$7</f>
      </c>
      <c r="D7" s="14">
        <f>D6*Asumsi!$C$7</f>
      </c>
      <c r="E7" s="14">
        <f>E6*Asumsi!$C$7</f>
      </c>
    </row>
    <row r="8" spans="1:5" x14ac:dyDescent="0.25">
      <c r="A8" s="15" t="s">
        <v>109</v>
      </c>
      <c r="B8" s="15" t="s">
        <v>110</v>
      </c>
      <c r="C8" s="16">
        <f>C7*Asumsi!$C$8</f>
      </c>
      <c r="D8" s="16">
        <f>D7*Asumsi!$C$8</f>
      </c>
      <c r="E8" s="16">
        <f>E7*Asumsi!$C$8</f>
      </c>
    </row>
    <row r="10" spans="1:5" x14ac:dyDescent="0.25">
      <c r="A10" s="5" t="s">
        <v>111</v>
      </c>
      <c r="B10" s="5"/>
      <c r="C10" s="5"/>
      <c r="D10" s="5"/>
      <c r="E10" s="5"/>
    </row>
    <row r="11" spans="1:3" x14ac:dyDescent="0.25">
      <c r="A11" s="15" t="s">
        <v>112</v>
      </c>
      <c r="B11" s="15" t="s">
        <v>113</v>
      </c>
      <c r="C11" s="15" t="s">
        <v>114</v>
      </c>
    </row>
    <row r="12" spans="1:3" x14ac:dyDescent="0.25">
      <c r="A12" t="s">
        <v>115</v>
      </c>
      <c r="B12" t="s">
        <v>116</v>
      </c>
      <c r="C12" t="s">
        <v>117</v>
      </c>
    </row>
    <row r="13" spans="1:3" x14ac:dyDescent="0.25">
      <c r="A13" t="s">
        <v>118</v>
      </c>
      <c r="B13" t="s">
        <v>119</v>
      </c>
      <c r="C13" t="s">
        <v>120</v>
      </c>
    </row>
    <row r="14" spans="1:3" x14ac:dyDescent="0.25">
      <c r="A14" t="s">
        <v>121</v>
      </c>
      <c r="B14" t="s">
        <v>122</v>
      </c>
      <c r="C14" t="s">
        <v>123</v>
      </c>
    </row>
    <row r="15" spans="1:3" x14ac:dyDescent="0.25">
      <c r="A15" t="s">
        <v>124</v>
      </c>
      <c r="B15" t="s">
        <v>125</v>
      </c>
      <c r="C15" t="s">
        <v>126</v>
      </c>
    </row>
    <row r="17" spans="1:1" x14ac:dyDescent="0.25">
      <c r="A17" s="17" t="s">
        <v>127</v>
      </c>
    </row>
    <row r="18" spans="1:1" x14ac:dyDescent="0.25">
      <c r="A18" s="17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30" customWidth="1"/>
    <col min="2" max="2" width="36" customWidth="1"/>
    <col min="3" max="5" width="16" customWidth="1"/>
  </cols>
  <sheetData>
    <row r="1" spans="1:5" x14ac:dyDescent="0.25">
      <c r="A1" s="10" t="s">
        <v>129</v>
      </c>
      <c r="B1" s="10"/>
      <c r="C1" s="10"/>
      <c r="D1" s="10"/>
      <c r="E1" s="10"/>
    </row>
    <row r="3" spans="1:5" x14ac:dyDescent="0.25">
      <c r="A3" s="3" t="s">
        <v>130</v>
      </c>
      <c r="B3" s="3" t="s">
        <v>100</v>
      </c>
      <c r="C3" s="3" t="s">
        <v>131</v>
      </c>
      <c r="D3" s="3" t="s">
        <v>132</v>
      </c>
      <c r="E3" s="3" t="s">
        <v>133</v>
      </c>
    </row>
    <row r="4" spans="1:5" x14ac:dyDescent="0.25">
      <c r="A4" t="s">
        <v>134</v>
      </c>
      <c r="B4" t="s">
        <v>135</v>
      </c>
      <c r="C4" s="18">
        <f>Asumsi!C24*Asumsi!$C$10/1024</f>
      </c>
      <c r="D4" s="18">
        <f>Asumsi!D24*Asumsi!$C$10/1024</f>
      </c>
      <c r="E4" s="18">
        <f>Asumsi!E24*Asumsi!$C$10/1024</f>
      </c>
    </row>
    <row r="5" spans="1:5" x14ac:dyDescent="0.25">
      <c r="A5" t="s">
        <v>136</v>
      </c>
      <c r="B5" t="s">
        <v>137</v>
      </c>
      <c r="C5" s="18">
        <f>Asumsi!C26</f>
      </c>
      <c r="D5" s="18">
        <f>Asumsi!D26</f>
      </c>
      <c r="E5" s="18">
        <f>Asumsi!E26</f>
      </c>
    </row>
    <row r="6" spans="1:5" x14ac:dyDescent="0.25">
      <c r="A6" t="s">
        <v>138</v>
      </c>
      <c r="B6" t="s">
        <v>139</v>
      </c>
      <c r="C6" s="18">
        <f>Asumsi!C25*Asumsi!$C$11/1024</f>
      </c>
      <c r="D6" s="18">
        <f>Asumsi!D25*Asumsi!$C$11/1024</f>
      </c>
      <c r="E6" s="18">
        <f>Asumsi!E25*Asumsi!$C$11/1024</f>
      </c>
    </row>
    <row r="7" spans="1:5" x14ac:dyDescent="0.25">
      <c r="A7" t="s">
        <v>140</v>
      </c>
      <c r="B7" t="s">
        <v>141</v>
      </c>
      <c r="C7" s="18">
        <f>Asumsi!C27*Asumsi!$C$21</f>
      </c>
      <c r="D7" s="18">
        <f>Asumsi!D27*Asumsi!$C$21</f>
      </c>
      <c r="E7" s="18">
        <f>Asumsi!E27*Asumsi!$C$21</f>
      </c>
    </row>
    <row r="8" spans="1:5" x14ac:dyDescent="0.25">
      <c r="A8" s="15" t="s">
        <v>142</v>
      </c>
      <c r="B8" s="15" t="s">
        <v>143</v>
      </c>
      <c r="C8" s="19">
        <f>SUM(C4:C7)</f>
      </c>
      <c r="D8" s="19">
        <f>SUM(D4:D7)</f>
      </c>
      <c r="E8" s="19">
        <f>SUM(E4:E7)</f>
      </c>
    </row>
    <row r="10" spans="1:5" x14ac:dyDescent="0.25">
      <c r="A10" t="s">
        <v>144</v>
      </c>
      <c r="B10" t="s">
        <v>145</v>
      </c>
      <c r="C10" s="20">
        <f>C8*Asumsi!$C$12</f>
      </c>
      <c r="D10" s="20">
        <f>D8*Asumsi!$C$12</f>
      </c>
      <c r="E10" s="20">
        <f>E8*Asumsi!$C$12</f>
      </c>
    </row>
    <row r="11" spans="1:5" x14ac:dyDescent="0.25">
      <c r="A11" s="15" t="s">
        <v>146</v>
      </c>
      <c r="B11" s="15" t="s">
        <v>147</v>
      </c>
      <c r="C11" s="6">
        <f>C10*Asumsi!$C$4</f>
      </c>
      <c r="D11" s="6">
        <f>D10*Asumsi!$C$4</f>
      </c>
      <c r="E11" s="6">
        <f>E10*Asumsi!$C$4</f>
      </c>
    </row>
    <row r="13" spans="1:1" x14ac:dyDescent="0.25">
      <c r="A13" s="17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1" width="36" customWidth="1"/>
    <col min="2" max="2" width="48" customWidth="1"/>
    <col min="3" max="5" width="18" customWidth="1"/>
    <col min="6" max="6" width="46" customWidth="1"/>
  </cols>
  <sheetData>
    <row r="1" spans="1:6" x14ac:dyDescent="0.25">
      <c r="A1" s="10" t="s">
        <v>149</v>
      </c>
      <c r="B1" s="10"/>
      <c r="C1" s="10"/>
      <c r="D1" s="10"/>
      <c r="E1" s="10"/>
      <c r="F1" s="10"/>
    </row>
    <row r="3" spans="1:6" x14ac:dyDescent="0.25">
      <c r="A3" s="3" t="s">
        <v>150</v>
      </c>
      <c r="B3" s="3" t="s">
        <v>151</v>
      </c>
      <c r="C3" s="3" t="s">
        <v>152</v>
      </c>
      <c r="D3" s="3" t="s">
        <v>153</v>
      </c>
      <c r="E3" s="3" t="s">
        <v>154</v>
      </c>
      <c r="F3" s="3" t="s">
        <v>114</v>
      </c>
    </row>
    <row r="4" spans="1:6" x14ac:dyDescent="0.25">
      <c r="A4" t="s">
        <v>155</v>
      </c>
      <c r="B4" t="s">
        <v>156</v>
      </c>
      <c r="C4" s="4">
        <v>0</v>
      </c>
      <c r="D4" s="4">
        <f>20*Asumsi!$C$4</f>
      </c>
      <c r="E4" s="4">
        <f>20*Asumsi!$C$4</f>
      </c>
      <c r="F4" t="s">
        <v>157</v>
      </c>
    </row>
    <row r="5" spans="1:6" x14ac:dyDescent="0.25">
      <c r="A5" t="s">
        <v>158</v>
      </c>
      <c r="B5" t="s">
        <v>159</v>
      </c>
      <c r="C5" s="4">
        <f>StorageR2!C11</f>
      </c>
      <c r="D5" s="4">
        <f>StorageR2!D11</f>
      </c>
      <c r="E5" s="4">
        <f>StorageR2!E11</f>
      </c>
      <c r="F5" t="s">
        <v>57</v>
      </c>
    </row>
    <row r="6" spans="1:6" x14ac:dyDescent="0.25">
      <c r="A6" t="s">
        <v>160</v>
      </c>
      <c r="B6" t="s">
        <v>161</v>
      </c>
      <c r="C6" s="4">
        <f>MAX(0,C16-Asumsi!$C$17)/1000*Asumsi!$C$16*Asumsi!$C$4</f>
      </c>
      <c r="D6" s="4">
        <f>MAX(0,D16-Asumsi!$C$17)/1000*Asumsi!$C$16*Asumsi!$C$4</f>
      </c>
      <c r="E6" s="4">
        <f>MAX(0,E16-Asumsi!$C$17)/1000*Asumsi!$C$16*Asumsi!$C$4</f>
      </c>
      <c r="F6" t="s">
        <v>162</v>
      </c>
    </row>
    <row r="7" spans="1:6" x14ac:dyDescent="0.25">
      <c r="A7" t="s">
        <v>163</v>
      </c>
      <c r="B7" t="s">
        <v>164</v>
      </c>
      <c r="C7" s="4">
        <f>IF(C17&lt;=3000,0,IF(C17&lt;=50000,20*Asumsi!$C$4,IF(C17&lt;=100000,90*Asumsi!$C$4,C17/1000*0.1*Asumsi!$C$4)))</f>
      </c>
      <c r="D7" s="4">
        <f>IF(D17&lt;=3000,0,IF(D17&lt;=50000,20*Asumsi!$C$4,IF(D17&lt;=100000,90*Asumsi!$C$4,D17/1000*0.1*Asumsi!$C$4)))</f>
      </c>
      <c r="E7" s="4">
        <f>IF(E17&lt;=3000,0,IF(E17&lt;=50000,20*Asumsi!$C$4,IF(E17&lt;=100000,90*Asumsi!$C$4,E17/1000*0.1*Asumsi!$C$4)))</f>
      </c>
      <c r="F7" t="s">
        <v>165</v>
      </c>
    </row>
    <row r="8" spans="1:5" x14ac:dyDescent="0.25">
      <c r="A8" t="s">
        <v>166</v>
      </c>
      <c r="B8" t="s">
        <v>167</v>
      </c>
      <c r="C8" s="4">
        <v>0</v>
      </c>
      <c r="D8" s="4">
        <f>26*Asumsi!$C$4</f>
      </c>
      <c r="E8" s="4">
        <f>80*Asumsi!$C$4</f>
      </c>
    </row>
    <row r="9" spans="1:6" x14ac:dyDescent="0.25">
      <c r="A9" t="s">
        <v>168</v>
      </c>
      <c r="B9" t="s">
        <v>169</v>
      </c>
      <c r="C9" s="4">
        <v>0</v>
      </c>
      <c r="D9" s="4">
        <v>0</v>
      </c>
      <c r="E9" s="4">
        <f>25*Asumsi!$C$4</f>
      </c>
      <c r="F9" t="s">
        <v>170</v>
      </c>
    </row>
    <row r="10" spans="1:5" x14ac:dyDescent="0.25">
      <c r="A10" t="s">
        <v>171</v>
      </c>
      <c r="B10" t="s">
        <v>172</v>
      </c>
      <c r="C10" s="4">
        <f>500000/12</f>
      </c>
      <c r="D10" s="4">
        <f>500000/12</f>
      </c>
      <c r="E10" s="4">
        <f>500000/12</f>
      </c>
    </row>
    <row r="11" spans="1:6" x14ac:dyDescent="0.25">
      <c r="A11" t="s">
        <v>173</v>
      </c>
      <c r="B11" t="s">
        <v>174</v>
      </c>
      <c r="C11" s="4">
        <v>0</v>
      </c>
      <c r="D11" s="4">
        <v>0</v>
      </c>
      <c r="E11" s="4">
        <v>0</v>
      </c>
      <c r="F11" t="s">
        <v>175</v>
      </c>
    </row>
    <row r="12" spans="1:6" x14ac:dyDescent="0.25">
      <c r="A12" t="s">
        <v>176</v>
      </c>
      <c r="B12" t="s">
        <v>177</v>
      </c>
      <c r="C12" s="4">
        <v>0</v>
      </c>
      <c r="D12" s="4">
        <v>0</v>
      </c>
      <c r="E12" s="4">
        <v>0</v>
      </c>
      <c r="F12" t="s">
        <v>178</v>
      </c>
    </row>
    <row r="13" spans="1:6" x14ac:dyDescent="0.25">
      <c r="A13" s="21" t="s">
        <v>179</v>
      </c>
      <c r="B13" s="21" t="s">
        <v>180</v>
      </c>
      <c r="C13" s="22">
        <f>SUM(C4:C12)</f>
      </c>
      <c r="D13" s="22">
        <f>SUM(D4:D12)</f>
      </c>
      <c r="E13" s="22">
        <f>SUM(E4:E12)</f>
      </c>
      <c r="F13" s="21"/>
    </row>
    <row r="15" spans="1:6" x14ac:dyDescent="0.25">
      <c r="A15" s="5" t="s">
        <v>181</v>
      </c>
      <c r="B15" s="5"/>
      <c r="C15" s="5" t="s">
        <v>182</v>
      </c>
      <c r="D15" s="5" t="s">
        <v>183</v>
      </c>
      <c r="E15" s="5" t="s">
        <v>184</v>
      </c>
      <c r="F15" s="5"/>
    </row>
    <row r="16" spans="1:6" x14ac:dyDescent="0.25">
      <c r="A16" t="s">
        <v>185</v>
      </c>
      <c r="B16" t="s">
        <v>186</v>
      </c>
      <c r="C16" s="14">
        <f>Beban!C5*Asumsi!$C$14*Asumsi!$C$15*Asumsi!$C$18</f>
      </c>
      <c r="D16" s="14">
        <f>Beban!D5*Asumsi!$C$14*Asumsi!$C$15*Asumsi!$C$18</f>
      </c>
      <c r="E16" s="14">
        <f>Beban!E5*Asumsi!$C$14*Asumsi!$C$15*Asumsi!$C$18</f>
      </c>
      <c r="F16" t="s">
        <v>187</v>
      </c>
    </row>
    <row r="17" spans="1:6" x14ac:dyDescent="0.25">
      <c r="A17" t="s">
        <v>188</v>
      </c>
      <c r="B17" t="s">
        <v>189</v>
      </c>
      <c r="C17" s="14">
        <f>Beban!C5*Asumsi!$C$20*Asumsi!$C$19</f>
      </c>
      <c r="D17" s="14">
        <f>Beban!D5*Asumsi!$C$20*Asumsi!$C$19</f>
      </c>
      <c r="E17" s="14">
        <f>Beban!E5*Asumsi!$C$20*Asumsi!$C$19</f>
      </c>
      <c r="F17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34" customWidth="1"/>
    <col min="2" max="2" width="58" customWidth="1"/>
    <col min="3" max="4" width="16" customWidth="1"/>
    <col min="5" max="5" width="20" customWidth="1"/>
  </cols>
  <sheetData>
    <row r="1" spans="1:5" x14ac:dyDescent="0.25">
      <c r="A1" s="10" t="s">
        <v>191</v>
      </c>
      <c r="B1" s="10"/>
      <c r="C1" s="10"/>
      <c r="D1" s="10"/>
      <c r="E1" s="10"/>
    </row>
    <row r="3" spans="1:5" x14ac:dyDescent="0.25">
      <c r="A3" s="3" t="s">
        <v>112</v>
      </c>
      <c r="B3" s="3" t="s">
        <v>192</v>
      </c>
      <c r="C3" s="3" t="s">
        <v>193</v>
      </c>
      <c r="D3" s="3" t="s">
        <v>194</v>
      </c>
      <c r="E3" s="3" t="s">
        <v>195</v>
      </c>
    </row>
    <row r="4" spans="1:5" x14ac:dyDescent="0.25">
      <c r="A4" t="s">
        <v>196</v>
      </c>
      <c r="B4" t="s">
        <v>197</v>
      </c>
      <c r="C4" s="4">
        <v>150000</v>
      </c>
      <c r="D4" s="4">
        <v>350000</v>
      </c>
      <c r="E4" s="4">
        <f>AVERAGE(C4:D4)</f>
      </c>
    </row>
    <row r="5" spans="1:5" x14ac:dyDescent="0.25">
      <c r="A5" t="s">
        <v>198</v>
      </c>
      <c r="B5" t="s">
        <v>199</v>
      </c>
      <c r="C5" s="4">
        <v>400000</v>
      </c>
      <c r="D5" s="4">
        <v>800000</v>
      </c>
      <c r="E5" s="4">
        <f>AVERAGE(C5:D5)</f>
      </c>
    </row>
    <row r="6" spans="1:5" x14ac:dyDescent="0.25">
      <c r="A6" t="s">
        <v>200</v>
      </c>
      <c r="B6" t="s">
        <v>201</v>
      </c>
      <c r="C6" s="4">
        <v>1300000</v>
      </c>
      <c r="D6" s="4">
        <v>2600000</v>
      </c>
      <c r="E6" s="4">
        <f>AVERAGE(C6:D6)</f>
      </c>
    </row>
    <row r="7" spans="1:5" x14ac:dyDescent="0.25">
      <c r="A7" t="s">
        <v>202</v>
      </c>
      <c r="B7" t="s">
        <v>203</v>
      </c>
      <c r="C7" s="4">
        <v>5000000</v>
      </c>
      <c r="D7" s="4">
        <v>10000000</v>
      </c>
      <c r="E7" s="4">
        <f>AVERAGE(C7:D7)</f>
      </c>
    </row>
    <row r="8" spans="1:5" x14ac:dyDescent="0.25">
      <c r="A8" t="s">
        <v>204</v>
      </c>
      <c r="B8" t="s">
        <v>205</v>
      </c>
      <c r="C8" s="4">
        <v>250000</v>
      </c>
      <c r="D8" s="4">
        <v>500000</v>
      </c>
      <c r="E8" s="4">
        <f>AVERAGE(C8:D8)</f>
      </c>
    </row>
    <row r="10" spans="1:5" x14ac:dyDescent="0.25">
      <c r="A10" s="5" t="s">
        <v>206</v>
      </c>
      <c r="B10" s="5"/>
      <c r="C10" s="5"/>
      <c r="D10" s="5"/>
      <c r="E10" s="5"/>
    </row>
    <row r="11" spans="1:5" x14ac:dyDescent="0.25">
      <c r="A11" s="15" t="s">
        <v>2</v>
      </c>
      <c r="B11" s="15" t="s">
        <v>207</v>
      </c>
      <c r="C11" s="15"/>
      <c r="D11" s="15"/>
      <c r="E11" s="15" t="s">
        <v>208</v>
      </c>
    </row>
    <row r="12" spans="1:5" x14ac:dyDescent="0.25">
      <c r="A12" t="s">
        <v>87</v>
      </c>
      <c r="B12" t="s">
        <v>209</v>
      </c>
      <c r="E12" s="22">
        <f>E4+E5</f>
      </c>
    </row>
    <row r="13" spans="1:5" x14ac:dyDescent="0.25">
      <c r="A13" t="s">
        <v>101</v>
      </c>
      <c r="B13" t="s">
        <v>210</v>
      </c>
      <c r="E13" s="22">
        <f>E4+E6</f>
      </c>
    </row>
    <row r="14" spans="1:5" x14ac:dyDescent="0.25">
      <c r="A14" t="s">
        <v>89</v>
      </c>
      <c r="B14" t="s">
        <v>211</v>
      </c>
      <c r="E14" s="22">
        <f>E8+E7</f>
      </c>
    </row>
    <row r="16" spans="1:1" x14ac:dyDescent="0.25">
      <c r="A16" s="17" t="s">
        <v>212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4" customWidth="1"/>
    <col min="2" max="2" width="42" customWidth="1"/>
    <col min="3" max="3" width="20" customWidth="1"/>
  </cols>
  <sheetData>
    <row r="1" spans="1:3" x14ac:dyDescent="0.25">
      <c r="A1" s="10" t="s">
        <v>213</v>
      </c>
      <c r="B1" s="10"/>
      <c r="C1" s="10"/>
    </row>
    <row r="3" spans="1:3" x14ac:dyDescent="0.25">
      <c r="A3" s="3" t="s">
        <v>214</v>
      </c>
      <c r="B3" s="3" t="s">
        <v>215</v>
      </c>
      <c r="C3" s="3" t="s">
        <v>216</v>
      </c>
    </row>
    <row r="4" spans="1:3" x14ac:dyDescent="0.25">
      <c r="A4" t="s">
        <v>217</v>
      </c>
      <c r="B4" t="s">
        <v>218</v>
      </c>
      <c r="C4" s="4">
        <f>12*Server!E4</f>
      </c>
    </row>
    <row r="5" spans="1:3" x14ac:dyDescent="0.25">
      <c r="A5" t="s">
        <v>219</v>
      </c>
      <c r="B5" t="s">
        <v>220</v>
      </c>
      <c r="C5" s="4">
        <f>3*(Server!E5+Software!C13)</f>
      </c>
    </row>
    <row r="6" spans="1:3" x14ac:dyDescent="0.25">
      <c r="A6" t="s">
        <v>221</v>
      </c>
      <c r="B6" t="s">
        <v>222</v>
      </c>
      <c r="C6" s="4">
        <f>9*(Server!E6+Software!D13)</f>
      </c>
    </row>
    <row r="7" spans="1:3" x14ac:dyDescent="0.25">
      <c r="A7" t="s">
        <v>223</v>
      </c>
      <c r="B7" t="s">
        <v>224</v>
      </c>
      <c r="C7" s="4">
        <v>0</v>
      </c>
    </row>
    <row r="8" spans="1:3" x14ac:dyDescent="0.25">
      <c r="A8" t="s">
        <v>225</v>
      </c>
      <c r="B8" t="s">
        <v>226</v>
      </c>
      <c r="C8" s="4">
        <f>SUM(C4:C7)</f>
      </c>
    </row>
    <row r="9" spans="1:3" x14ac:dyDescent="0.25">
      <c r="A9" t="s">
        <v>227</v>
      </c>
      <c r="B9" t="s">
        <v>228</v>
      </c>
      <c r="C9" s="4">
        <f>C8*Asumsi!$C$13</f>
      </c>
    </row>
    <row r="10" spans="1:3" x14ac:dyDescent="0.25">
      <c r="A10" s="21" t="s">
        <v>229</v>
      </c>
      <c r="B10" s="21" t="s">
        <v>230</v>
      </c>
      <c r="C10" s="22">
        <f>C8+C9</f>
      </c>
    </row>
    <row r="11" spans="1:3" x14ac:dyDescent="0.25">
      <c r="A11" s="7" t="s">
        <v>231</v>
      </c>
      <c r="B11" s="7" t="s">
        <v>232</v>
      </c>
      <c r="C11" s="8">
        <v>45000000</v>
      </c>
    </row>
    <row r="12" spans="1:3" x14ac:dyDescent="0.25">
      <c r="A12" t="s">
        <v>233</v>
      </c>
      <c r="B12" t="s">
        <v>234</v>
      </c>
      <c r="C12" s="4">
        <f>C11-C10</f>
      </c>
    </row>
    <row r="14" spans="1:3" x14ac:dyDescent="0.25">
      <c r="A14" s="5" t="s">
        <v>235</v>
      </c>
      <c r="B14" s="5"/>
      <c r="C14" s="5"/>
    </row>
    <row r="15" spans="1:3" x14ac:dyDescent="0.25">
      <c r="A15" t="s">
        <v>236</v>
      </c>
      <c r="B15" t="s">
        <v>237</v>
      </c>
      <c r="C15" s="4">
        <v>50000000</v>
      </c>
    </row>
    <row r="16" spans="1:3" x14ac:dyDescent="0.25">
      <c r="A16" t="s">
        <v>238</v>
      </c>
      <c r="B16" t="s">
        <v>239</v>
      </c>
      <c r="C16" s="4">
        <v>300000000</v>
      </c>
    </row>
    <row r="17" spans="1:3" x14ac:dyDescent="0.25">
      <c r="A17" t="s">
        <v>240</v>
      </c>
      <c r="B17" t="s">
        <v>241</v>
      </c>
      <c r="C17" s="9">
        <f>C10/C15</f>
      </c>
    </row>
    <row r="18" spans="1:3" x14ac:dyDescent="0.25">
      <c r="A18" t="s">
        <v>242</v>
      </c>
      <c r="B18" t="s">
        <v>243</v>
      </c>
      <c r="C18" s="9">
        <f>C10/C16</f>
      </c>
    </row>
    <row r="20" spans="1:1" x14ac:dyDescent="0.25">
      <c r="A20" s="17" t="s">
        <v>244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36" customWidth="1"/>
    <col min="2" max="3" width="34" customWidth="1"/>
    <col min="4" max="4" width="56" customWidth="1"/>
  </cols>
  <sheetData>
    <row r="1" spans="1:4" x14ac:dyDescent="0.25">
      <c r="A1" s="10" t="s">
        <v>245</v>
      </c>
      <c r="B1" s="10"/>
      <c r="C1" s="10"/>
      <c r="D1" s="10"/>
    </row>
    <row r="3" spans="1:4" x14ac:dyDescent="0.25">
      <c r="A3" s="3" t="s">
        <v>246</v>
      </c>
      <c r="B3" s="3" t="s">
        <v>247</v>
      </c>
      <c r="C3" s="3" t="s">
        <v>248</v>
      </c>
      <c r="D3" s="3" t="s">
        <v>114</v>
      </c>
    </row>
    <row r="4" spans="1:4" x14ac:dyDescent="0.25">
      <c r="A4" t="s">
        <v>249</v>
      </c>
      <c r="B4" t="s">
        <v>250</v>
      </c>
      <c r="C4" t="s">
        <v>251</v>
      </c>
      <c r="D4" t="s">
        <v>252</v>
      </c>
    </row>
    <row r="5" spans="1:4" x14ac:dyDescent="0.25">
      <c r="A5" t="s">
        <v>253</v>
      </c>
      <c r="B5" t="s">
        <v>254</v>
      </c>
      <c r="C5" t="s">
        <v>251</v>
      </c>
      <c r="D5" t="s">
        <v>255</v>
      </c>
    </row>
    <row r="6" spans="1:4" x14ac:dyDescent="0.25">
      <c r="A6" t="s">
        <v>256</v>
      </c>
      <c r="B6" t="s">
        <v>257</v>
      </c>
      <c r="C6" t="s">
        <v>258</v>
      </c>
      <c r="D6" t="s">
        <v>259</v>
      </c>
    </row>
    <row r="7" spans="1:4" x14ac:dyDescent="0.25">
      <c r="A7" t="s">
        <v>260</v>
      </c>
      <c r="B7" t="s">
        <v>261</v>
      </c>
      <c r="C7" t="s">
        <v>262</v>
      </c>
      <c r="D7" t="s">
        <v>263</v>
      </c>
    </row>
    <row r="9" spans="1:1" x14ac:dyDescent="0.25">
      <c r="A9" s="17" t="s">
        <v>264</v>
      </c>
    </row>
    <row r="11" spans="1:4" x14ac:dyDescent="0.25">
      <c r="A11" s="15" t="s">
        <v>265</v>
      </c>
      <c r="B11" s="15"/>
      <c r="C11" s="15"/>
      <c r="D11" s="15"/>
    </row>
    <row r="12" spans="1:2" x14ac:dyDescent="0.25">
      <c r="A12" t="s">
        <v>266</v>
      </c>
      <c r="B12" t="s">
        <v>267</v>
      </c>
    </row>
    <row r="13" spans="1:2" x14ac:dyDescent="0.25">
      <c r="A13" t="s">
        <v>268</v>
      </c>
      <c r="B13" t="s">
        <v>269</v>
      </c>
    </row>
    <row r="14" spans="1:2" x14ac:dyDescent="0.25">
      <c r="A14" t="s">
        <v>160</v>
      </c>
      <c r="B14" t="s">
        <v>270</v>
      </c>
    </row>
    <row r="15" spans="1:2" x14ac:dyDescent="0.25">
      <c r="A15" t="s">
        <v>271</v>
      </c>
      <c r="B15" t="s">
        <v>272</v>
      </c>
    </row>
    <row r="16" spans="1:2" x14ac:dyDescent="0.25">
      <c r="A16" t="s">
        <v>273</v>
      </c>
      <c r="B16" t="s">
        <v>274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Ringkasan</vt:lpstr>
      <vt:lpstr>Asumsi</vt:lpstr>
      <vt:lpstr>Beban</vt:lpstr>
      <vt:lpstr>StorageR2</vt:lpstr>
      <vt:lpstr>Software</vt:lpstr>
      <vt:lpstr>Server</vt:lpstr>
      <vt:lpstr>Anggaran12Bln</vt:lpstr>
      <vt:lpstr>Pembanding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2026-07-11T13:58:00Z</dcterms:created>
  <dcterms:modified xsi:type="dcterms:W3CDTF">2026-07-11T13:58:00Z</dcterms:modified>
</cp:coreProperties>
</file>