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sumsi" state="visible" r:id="rId5"/>
    <sheet sheetId="3" name="Beban" state="visible" r:id="rId6"/>
    <sheet sheetId="4" name="StorageR2" state="visible" r:id="rId7"/>
    <sheet sheetId="5" name="Software" state="visible" r:id="rId8"/>
    <sheet sheetId="6" name="Server" state="visible" r:id="rId9"/>
    <sheet sheetId="7" name="Anggaran12Bln" state="visible" r:id="rId10"/>
    <sheet sheetId="8" name="Pembanding" state="visible" r:id="rId11"/>
  </sheets>
  <calcPr calcId="171027"/>
</workbook>
</file>

<file path=xl/sharedStrings.xml><?xml version="1.0" encoding="utf-8"?>
<sst xmlns="http://schemas.openxmlformats.org/spreadsheetml/2006/main" count="361" uniqueCount="331">
  <si>
    <t>AdopTree World — Perhitungan Kapasitas &amp; Anggaran Infrastruktur (Staging + Production)</t>
  </si>
  <si>
    <t>Pendamping dokumen: kapasitas-sistem-staging-production.md · ringkasan-pengajuan.md — 11 Juli 2026 · Aditira Jamhuri (CTO)</t>
  </si>
  <si>
    <t>Fase</t>
  </si>
  <si>
    <t>Periode</t>
  </si>
  <si>
    <t>Server (Rp/bln)</t>
  </si>
  <si>
    <t>Software (Rp/bln)</t>
  </si>
  <si>
    <t>TOTAL (Rp/bln)</t>
  </si>
  <si>
    <t>Launch (≤ 2.000 akun)</t>
  </si>
  <si>
    <t>Agu–Des 2026</t>
  </si>
  <si>
    <t>Growth Y1 (≤ 25 rb akun)</t>
  </si>
  <si>
    <t>2027</t>
  </si>
  <si>
    <t>Scale Y2 (≤ 120 rb akun)</t>
  </si>
  <si>
    <t>2028</t>
  </si>
  <si>
    <t>Anggaran 12 bulan pertama (Agu 2026 – Jul 2027)</t>
  </si>
  <si>
    <t>Total proyeksi realisasi — base, upgrade per trigger (termasuk buffer 10%); skenario upgrade dini ≈ Rp 47,5 jt di sheet Anggaran12Bln</t>
  </si>
  <si>
    <t>PLAFON diajukan untuk persetujuan</t>
  </si>
  <si>
    <t>Rasio realisasi base terhadap alokasi infrastruktur PRD §14.4 tahun 2027 (plafon ≈ 26%)</t>
  </si>
  <si>
    <t>Cara pakai: seluruh sel KUNING di sheet Asumsi adalah input — ubah nilainya (kurs, %DAU, harga, volume anchor) dan seluruh workbook menghitung ulang.</t>
  </si>
  <si>
    <t>Buka di Microsoft Excel / LibreOffice / Google Sheets agar formula terevaluasi. Metodologi &amp; justifikasi lengkap: kapasitas-sistem-staging-production.md.</t>
  </si>
  <si>
    <t>Asumsi &amp; Parameter — sel KUNING adalah input; ubah nilainya, seluruh workbook menghitung ulang</t>
  </si>
  <si>
    <t>Kode</t>
  </si>
  <si>
    <t>Parameter</t>
  </si>
  <si>
    <t>Nilai</t>
  </si>
  <si>
    <t>Satuan</t>
  </si>
  <si>
    <t>Catatan / Sensitivitas</t>
  </si>
  <si>
    <t>KURS</t>
  </si>
  <si>
    <t>Kurs USD → IDR</t>
  </si>
  <si>
    <t>Rp/USD</t>
  </si>
  <si>
    <t>Fluktuasi ditampung buffer 10%</t>
  </si>
  <si>
    <t>A1</t>
  </si>
  <si>
    <t>DAU sebagai % akun terdaftar</t>
  </si>
  <si>
    <t>%</t>
  </si>
  <si>
    <t>×2 → tetap &lt; 20% utilisasi Tier 1</t>
  </si>
  <si>
    <t>A2</t>
  </si>
  <si>
    <t>Concurrent peak sebagai % DAU</t>
  </si>
  <si>
    <t>jam sibuk malam/akhir pekan</t>
  </si>
  <si>
    <t>A3</t>
  </si>
  <si>
    <t>RPS per user aktif</t>
  </si>
  <si>
    <t>RPS</t>
  </si>
  <si>
    <t>≈ 6 request/menit saat aktif</t>
  </si>
  <si>
    <t>A4</t>
  </si>
  <si>
    <t>Faktor lonjakan trafik</t>
  </si>
  <si>
    <t>×</t>
  </si>
  <si>
    <t>kampanye/PR; 20× dianalisis di dokumen §7.1</t>
  </si>
  <si>
    <t>A5</t>
  </si>
  <si>
    <t>CDN offload halaman publik</t>
  </si>
  <si>
    <t>konservatif; realita biasanya &gt; 85%</t>
  </si>
  <si>
    <t>A6a</t>
  </si>
  <si>
    <t>Foto per inspeksi (3 × 1,5 MB)</t>
  </si>
  <si>
    <t>MB</t>
  </si>
  <si>
    <t>watermark anti-tamper</t>
  </si>
  <si>
    <t>A6b</t>
  </si>
  <si>
    <t>Inspeksi per pohon per tahun</t>
  </si>
  <si>
    <t>A12a</t>
  </si>
  <si>
    <t>Ukuran video</t>
  </si>
  <si>
    <t>profil/galeri lahan, posts</t>
  </si>
  <si>
    <t>A12b</t>
  </si>
  <si>
    <t>Video per lahan aktif</t>
  </si>
  <si>
    <t>video</t>
  </si>
  <si>
    <t>SPH1</t>
  </si>
  <si>
    <t>Ukuran photo sphere 360°</t>
  </si>
  <si>
    <t>SPH2</t>
  </si>
  <si>
    <t>% pohon dengan photo sphere</t>
  </si>
  <si>
    <t>GAL</t>
  </si>
  <si>
    <t>Media galeri/forum per merchant</t>
  </si>
  <si>
    <t>GB</t>
  </si>
  <si>
    <t>CERT</t>
  </si>
  <si>
    <t>Sertifikat/laporan per adopsi</t>
  </si>
  <si>
    <t>R2P</t>
  </si>
  <si>
    <t>Harga R2 per GB per bulan</t>
  </si>
  <si>
    <t>USD</t>
  </si>
  <si>
    <t>egress gratis</t>
  </si>
  <si>
    <t>BUF</t>
  </si>
  <si>
    <t>Buffer anggaran</t>
  </si>
  <si>
    <t>baris tersendiri di Anggaran12Bln</t>
  </si>
  <si>
    <t>LHN</t>
  </si>
  <si>
    <t>Lahan aktif per merchant</t>
  </si>
  <si>
    <t>lahan</t>
  </si>
  <si>
    <t>MAP1</t>
  </si>
  <si>
    <t>Sesi per DAU per bulan</t>
  </si>
  <si>
    <t>sesi</t>
  </si>
  <si>
    <t>MAP2</t>
  </si>
  <si>
    <t>% sesi membuka peta</t>
  </si>
  <si>
    <t>peta = fitur inti AdopTree</t>
  </si>
  <si>
    <t>MAP3</t>
  </si>
  <si>
    <t>Harga Mapbox per 1.000 loads di atas free tier</t>
  </si>
  <si>
    <t>MAP4</t>
  </si>
  <si>
    <t>Free tier Mapbox</t>
  </si>
  <si>
    <t>loads/bln</t>
  </si>
  <si>
    <t>web GL loads</t>
  </si>
  <si>
    <t>MAP5</t>
  </si>
  <si>
    <t>Faktor mitigasi peta (thumbnail statis + lazy-load)</t>
  </si>
  <si>
    <t>porsi sesi peta yang benar-benar memuat peta interaktif</t>
  </si>
  <si>
    <t>EML1</t>
  </si>
  <si>
    <t>Email per akun aktif per bulan</t>
  </si>
  <si>
    <t>email</t>
  </si>
  <si>
    <t>rentang dokumen: 2–6</t>
  </si>
  <si>
    <t>EML2</t>
  </si>
  <si>
    <t>Akun aktif = DAU ×</t>
  </si>
  <si>
    <t>proxy MAU</t>
  </si>
  <si>
    <t>AI1</t>
  </si>
  <si>
    <t>Percakapan Tira per DAU per bulan</t>
  </si>
  <si>
    <t>percakapan</t>
  </si>
  <si>
    <t>co-pilot + support 24/7</t>
  </si>
  <si>
    <t>AI2</t>
  </si>
  <si>
    <t>Biaya AI per percakapan</t>
  </si>
  <si>
    <t>Rp</t>
  </si>
  <si>
    <t>rentang A11: 50–300; cap harian fail-closed membatasi maksimum</t>
  </si>
  <si>
    <t>GRW</t>
  </si>
  <si>
    <t>Cadangan pertumbuhan konten media</t>
  </si>
  <si>
    <t>penebal konservatif atas seluruh media terhitung</t>
  </si>
  <si>
    <t>BKP</t>
  </si>
  <si>
    <t>Faktor backup (× ukuran DB, retensi 30 hari)</t>
  </si>
  <si>
    <t>WAL + basebackup</t>
  </si>
  <si>
    <t>Anchor volume (PRD §14.2)</t>
  </si>
  <si>
    <t>Launch 2026</t>
  </si>
  <si>
    <t>Growth Y1 2027</t>
  </si>
  <si>
    <t>Scale Y2 2028</t>
  </si>
  <si>
    <t>AKUN</t>
  </si>
  <si>
    <t>Akun terdaftar</t>
  </si>
  <si>
    <t>POHON</t>
  </si>
  <si>
    <t>Pohon teradopsi (kumulatif)</t>
  </si>
  <si>
    <t>MRCH</t>
  </si>
  <si>
    <t>Merchant aktif</t>
  </si>
  <si>
    <t>LAHAN</t>
  </si>
  <si>
    <t>Lahan aktif (= merchant × LHN)</t>
  </si>
  <si>
    <t>APK</t>
  </si>
  <si>
    <t>Build APK kumulatif (±117 MB/build)</t>
  </si>
  <si>
    <t>DB</t>
  </si>
  <si>
    <t>Proyeksi ukuran database (GB)</t>
  </si>
  <si>
    <t>Model Beban — formula eksplisit dari anchor PRD §14.2 (dokumen §3)</t>
  </si>
  <si>
    <t>Metrik</t>
  </si>
  <si>
    <t>Formula</t>
  </si>
  <si>
    <t>anchor PRD §14.2 (sheet Asumsi)</t>
  </si>
  <si>
    <t>DAU</t>
  </si>
  <si>
    <t>akun × A1</t>
  </si>
  <si>
    <t>Concurrent peak</t>
  </si>
  <si>
    <t>DAU × A2</t>
  </si>
  <si>
    <t>RPS nominal</t>
  </si>
  <si>
    <t>concurrent × A3</t>
  </si>
  <si>
    <t>RPS target sizing</t>
  </si>
  <si>
    <t>nominal × A4 (lonjakan)</t>
  </si>
  <si>
    <t>Kapasitas komponen (acuan praktik industri — konservatif; dokumen §3.3)</t>
  </si>
  <si>
    <t>Komponen</t>
  </si>
  <si>
    <t>Kapasitas aman per unit</t>
  </si>
  <si>
    <t>Catatan</t>
  </si>
  <si>
    <t>Rust/Axum BE</t>
  </si>
  <si>
    <t>≥ 2.000 RPS/core</t>
  </si>
  <si>
    <t>praktis bukan bottleneck sampai Y2</t>
  </si>
  <si>
    <t>Next.js SSR</t>
  </si>
  <si>
    <t>50–150 RPS/core</t>
  </si>
  <si>
    <t>dimitigasi CDN offload (A5)</t>
  </si>
  <si>
    <t>PostgreSQL + PostGIS</t>
  </si>
  <si>
    <t>500–1.000 tx tulis/s</t>
  </si>
  <si>
    <t>pool koneksi + IOPS NVMe</t>
  </si>
  <si>
    <t>Redis</t>
  </si>
  <si>
    <t>50.000+ ops/s</t>
  </si>
  <si>
    <t>bukan bottleneck</t>
  </si>
  <si>
    <t>Meilisearch</t>
  </si>
  <si>
    <t>ribuan query/s</t>
  </si>
  <si>
    <t>RAM indeks kecil</t>
  </si>
  <si>
    <t>ML Tree Service</t>
  </si>
  <si>
    <t>on-demand, antre</t>
  </si>
  <si>
    <t>RAM 1–2 GB saat inferensi</t>
  </si>
  <si>
    <t>Kesimpulan: throughput bukan pendorong biaya — pendorongnya availability + keamanan data (isolasi, backup, enkripsi) + RAM layanan pendukung.</t>
  </si>
  <si>
    <t>Storage R2 — SELURUH konten media platform (dokumen §4.1); egress GRATIS berapa pun trafiknya</t>
  </si>
  <si>
    <t>Item</t>
  </si>
  <si>
    <t>Launch 2026 (GB)</t>
  </si>
  <si>
    <t>Growth Y1 2027 (GB)</t>
  </si>
  <si>
    <t>Scale Y2 2028 (GB)</t>
  </si>
  <si>
    <t>Foto inspeksi lapangan (jejak audit ESG)</t>
  </si>
  <si>
    <t>pohon × A6b × A6a / 1024</t>
  </si>
  <si>
    <t>Video (profil/galeri lahan, posts, landing)</t>
  </si>
  <si>
    <t>lahan aktif × A12b × A12a / 1024</t>
  </si>
  <si>
    <t>Photo sphere 360°</t>
  </si>
  <si>
    <t>pohon × SPH2 × SPH1 / 1024</t>
  </si>
  <si>
    <t>Galeri foto lahan, avatar, media forum</t>
  </si>
  <si>
    <t>merchant × GAL</t>
  </si>
  <si>
    <t>Sertifikat PDF + laporan ESG</t>
  </si>
  <si>
    <t>pohon × CERT / 1024</t>
  </si>
  <si>
    <t>APK releases (retensi seluruh build)</t>
  </si>
  <si>
    <t>build × 117 MB / 1024</t>
  </si>
  <si>
    <t>Backup DB (retensi 30 hari)</t>
  </si>
  <si>
    <t>ukuran DB × BKP</t>
  </si>
  <si>
    <t>Subtotal terhitung</t>
  </si>
  <si>
    <t>jumlah baris di atas</t>
  </si>
  <si>
    <t>Cadangan pertumbuhan konten (GRW)</t>
  </si>
  <si>
    <t>subtotal × GRW</t>
  </si>
  <si>
    <t>TOTAL storage (GB)</t>
  </si>
  <si>
    <t>subtotal + cadangan</t>
  </si>
  <si>
    <t>Biaya per bulan (USD)</t>
  </si>
  <si>
    <t>total GB × R2P</t>
  </si>
  <si>
    <t>Biaya per bulan (Rp)</t>
  </si>
  <si>
    <t>USD × KURS</t>
  </si>
  <si>
    <t>Skenario media 5× proyeksi (Rp/bln)</t>
  </si>
  <si>
    <t>biaya Rp × 5</t>
  </si>
  <si>
    <t>Catatan: bahkan skenario 5× di Y2 tetap &lt; 15% anggaran bulanan fase tersebut — egress tetap Rp 0. Jalur adaptive streaming (Cloudflare Stream) via revisi anggaran.</t>
  </si>
  <si>
    <t>Inventaris Langganan Software — LENGKAP, termasuk yang Rp 0 (dokumen §8.1); titik tengah realistis per bulan</t>
  </si>
  <si>
    <t>Layanan</t>
  </si>
  <si>
    <t>Basis perhitungan</t>
  </si>
  <si>
    <t>Launch 2026 (Rp/bln)</t>
  </si>
  <si>
    <t>Growth Y1 2027 (Rp/bln)</t>
  </si>
  <si>
    <t>Scale Y2 2028 (Rp/bln)</t>
  </si>
  <si>
    <t>Cloudflare (plan)</t>
  </si>
  <si>
    <t>Free → Pro $20/bln mulai Y1</t>
  </si>
  <si>
    <t>Y2 bisa naik Business bila perlu</t>
  </si>
  <si>
    <t>Cloudflare R2</t>
  </si>
  <si>
    <t>sheet StorageR2 (seluruh konten media)</t>
  </si>
  <si>
    <t>Mapbox</t>
  </si>
  <si>
    <t>MAX(0; loads efektif − free tier) / 1000 × MAP3 × KURS</t>
  </si>
  <si>
    <t>loads efektif di baris 18 (sudah termasuk mitigasi MAP5)</t>
  </si>
  <si>
    <t>Tira AI (OpenAI/Gemini)</t>
  </si>
  <si>
    <t>DAU × AI1 × AI2</t>
  </si>
  <si>
    <t>cap harian fail-closed built-in membatasi maksimum</t>
  </si>
  <si>
    <t>Email transaksional (Resend → SES)</t>
  </si>
  <si>
    <t>tier dari volume email di baris 19</t>
  </si>
  <si>
    <t>Free 3rb → Pro $20 → Scale $90 → SES $0,10/1.000</t>
  </si>
  <si>
    <t>Sentry (error monitoring)</t>
  </si>
  <si>
    <t>Free → Team ~$26 mulai Y1</t>
  </si>
  <si>
    <t>Business ~$80 bila dibutuhkan</t>
  </si>
  <si>
    <t>Uptime monitor (+ APM di Y2)</t>
  </si>
  <si>
    <t>Free → ~$25</t>
  </si>
  <si>
    <t>Domain adoptreeworld.com</t>
  </si>
  <si>
    <t>~Rp 300 rb/tahun ÷ 12</t>
  </si>
  <si>
    <t>Container registry</t>
  </si>
  <si>
    <t>GHCR gratis</t>
  </si>
  <si>
    <t>Docker Hub Pro ~$11 bila diperlukan</t>
  </si>
  <si>
    <t>FCM + Web Push (VAPID)</t>
  </si>
  <si>
    <t>gratis / standar terbuka</t>
  </si>
  <si>
    <t>push mobile + browser</t>
  </si>
  <si>
    <t>Jenkins · GitHub · Google OAuth · Instagram Graph API · Sentinel-2 · Meilisearch · Redis · PostgreSQL+PostGIS · ML service · OSS</t>
  </si>
  <si>
    <t>self-host / free plan</t>
  </si>
  <si>
    <t>tercantum agar terlihat tidak ada yang terlewat</t>
  </si>
  <si>
    <t>SUBTOTAL SOFTWARE</t>
  </si>
  <si>
    <t>jumlah baris 4–14</t>
  </si>
  <si>
    <t>Metrik volume (dasar formula di atas)</t>
  </si>
  <si>
    <t>Launch</t>
  </si>
  <si>
    <t>Y1</t>
  </si>
  <si>
    <t>Y2</t>
  </si>
  <si>
    <t>Mapbox loads efektif / bln</t>
  </si>
  <si>
    <t>DAU × MAP1 × MAP2 × MAP5</t>
  </si>
  <si>
    <t>free tier 50 rb loads (MAP4)</t>
  </si>
  <si>
    <t>Volume email / bln</t>
  </si>
  <si>
    <t>DAU × EML2 × EML1</t>
  </si>
  <si>
    <t>Spesifikasi &amp; Harga Server per Tier (dokumen §5) — rentang = harga pasar 4 provider (sheet Pembanding)</t>
  </si>
  <si>
    <t>Spesifikasi</t>
  </si>
  <si>
    <t>Min (Rp/bln)</t>
  </si>
  <si>
    <t>Max (Rp/bln)</t>
  </si>
  <si>
    <t>Titik tengah (Rp/bln)</t>
  </si>
  <si>
    <t>VPS Staging (semua fase)</t>
  </si>
  <si>
    <t>2 vCPU / 4 GB / 80 GB NVMe — stack lengkap + Jenkins CI/CD</t>
  </si>
  <si>
    <t>Production Tier 1 — Launch</t>
  </si>
  <si>
    <t>4 vCPU / 8 GB / 160 GB NVMe, DC Indonesia (UU PDP)</t>
  </si>
  <si>
    <t>Production Tier 2 — Growth Y1</t>
  </si>
  <si>
    <t>App node 8 vCPU/16 GB + DB node terpisah 4 vCPU/8 GB NVMe</t>
  </si>
  <si>
    <t>Production Tier 3 — Scale Y2</t>
  </si>
  <si>
    <t>2× app + LB + managed Postgres HA + replica + node ML</t>
  </si>
  <si>
    <t>VPS Staging — upgrade Y2 (opsional)</t>
  </si>
  <si>
    <t>4 vCPU / 8 GB bila antrean build memicu trigger</t>
  </si>
  <si>
    <t>Total server per fase (titik tengah)</t>
  </si>
  <si>
    <t>Komposisi</t>
  </si>
  <si>
    <t>Rp/bln</t>
  </si>
  <si>
    <t>Staging + Production Tier 1</t>
  </si>
  <si>
    <t>Staging + Production Tier 2</t>
  </si>
  <si>
    <t>Staging (upgrade) + Production Tier 3</t>
  </si>
  <si>
    <t>Pemisahan peran (dokumen §5.0b): Builder/CI di staging sejak hari pertama; DB pisah node di Tier 2; HA + replica di Tier 3; backup = R2 off-site (bukan VM).</t>
  </si>
  <si>
    <t>Anggaran 12 Bulan Pertama — Agustus 2026 s.d. Juli 2027 (dokumen §8.3)</t>
  </si>
  <si>
    <t>Pos</t>
  </si>
  <si>
    <t>Perhitungan</t>
  </si>
  <si>
    <t>Jumlah (Rp)</t>
  </si>
  <si>
    <t>Staging dedicated, 12 bulan</t>
  </si>
  <si>
    <t>12 × titik tengah staging</t>
  </si>
  <si>
    <t>Production Launch + software, 5 bulan (Agu–Des 2026)</t>
  </si>
  <si>
    <t>5 × (Prod Tier 1 + subtotal software Launch)</t>
  </si>
  <si>
    <t>Production Growth Y1 + software, 7 bulan (Jan–Jul 2027)</t>
  </si>
  <si>
    <t>7 × (Prod Tier 2 + subtotal software Y1)</t>
  </si>
  <si>
    <t>One-time: hardening, uji restore, k6 gate go-live</t>
  </si>
  <si>
    <t>jam kerja internal, tanpa lisensi</t>
  </si>
  <si>
    <t>Subtotal</t>
  </si>
  <si>
    <t>jumlah pos di atas</t>
  </si>
  <si>
    <t>Buffer (BUF)</t>
  </si>
  <si>
    <t>subtotal × buffer (Asumsi BUF)</t>
  </si>
  <si>
    <t>TOTAL PROYEKSI 12 BULAN</t>
  </si>
  <si>
    <t>subtotal + buffer</t>
  </si>
  <si>
    <t>PLAFON DIAJUKAN</t>
  </si>
  <si>
    <t>menampung base maupun skenario upgrade dini (baris 22–25)</t>
  </si>
  <si>
    <t>Ruang tersisa terhadap plafon</t>
  </si>
  <si>
    <t>plafon − total proyeksi</t>
  </si>
  <si>
    <t>Uji kewajaran terhadap alokasi PRD §14.4</t>
  </si>
  <si>
    <t>Alokasi infrastruktur PRD 2026</t>
  </si>
  <si>
    <t>$3.600 × KURS</t>
  </si>
  <si>
    <t>Alokasi infrastruktur PRD 2027</t>
  </si>
  <si>
    <t>$12.000 × KURS</t>
  </si>
  <si>
    <t>Rasio total proyeksi vs alokasi 2026</t>
  </si>
  <si>
    <t>total ÷ alokasi 2026</t>
  </si>
  <si>
    <t>Rasio total proyeksi vs alokasi 2027</t>
  </si>
  <si>
    <t>total ÷ alokasi 2027</t>
  </si>
  <si>
    <t>Mekanisme pengendalian: bila realisasi mendekati plafon, pengeluaran berikutnya kembali dimintakan persetujuan — anggaran tidak dapat terlampaui tanpa sepengetahuan stakeholder.</t>
  </si>
  <si>
    <t>Skenario upgrade dini — trigger Tier 2 terpicu Nov 2026 (lonjakan pasca-public-launch)</t>
  </si>
  <si>
    <t>Subtotal skenario dini</t>
  </si>
  <si>
    <t>12 × staging + 3 × (Tier 1 + software Launch) + 9 × (Tier 2 + software Y1)</t>
  </si>
  <si>
    <t>subtotal skenario × buffer</t>
  </si>
  <si>
    <t>TOTAL skenario upgrade dini</t>
  </si>
  <si>
    <t>Ruang tersisa plafon terhadap skenario dini</t>
  </si>
  <si>
    <t>plafon − total skenario dini</t>
  </si>
  <si>
    <t>Pembanding Harga Pasar — harga publik per Juli 2026 (dokumen §5.5) — ⚠️ WAJIB verifikasi ulang saat pengadaan</t>
  </si>
  <si>
    <t>Provider</t>
  </si>
  <si>
    <t>Staging 2 vCPU/4 GB</t>
  </si>
  <si>
    <t>Production 4 vCPU/8 GB</t>
  </si>
  <si>
    <t>IDCloudHost (Indonesia)</t>
  </si>
  <si>
    <t>≈ Rp 175–300 rb</t>
  </si>
  <si>
    <t>≈ Rp 400–600 rb</t>
  </si>
  <si>
    <t>Pay-as-you-go; ekstrapolasi dari harga publik 2 vCPU/2 GB Rp 87–149 rb; DC Indonesia ✓</t>
  </si>
  <si>
    <t>Biznet Gio NEO Lite (Indonesia)</t>
  </si>
  <si>
    <t>≈ Rp 200–300 rb</t>
  </si>
  <si>
    <t>NVMe, free bandwidth; DC Indonesia ✓</t>
  </si>
  <si>
    <t>DigitalOcean (Singapura)</t>
  </si>
  <si>
    <t>$24–32 (Rp 390–520 rb)</t>
  </si>
  <si>
    <t>$48–63 (Rp 780 rb–1 jt)</t>
  </si>
  <si>
    <t>Tooling bagus; data PII keluar RI → hanya cadangan</t>
  </si>
  <si>
    <t>Vultr (Singapura)</t>
  </si>
  <si>
    <t>$20–24 (Rp 330–390 rb)</t>
  </si>
  <si>
    <t>$40–48 (Rp 650–780 rb)</t>
  </si>
  <si>
    <t>idem</t>
  </si>
  <si>
    <t>Kesimpulan: rentang proposal (staging Rp 150–350 rb; production Rp 400–800 rb) = harga pasar apa adanya, tanpa margin. Preferensi provider Indonesia (UU PDP data residency untuk NIK/KTP + latency domestik).</t>
  </si>
  <si>
    <t>Sumber harga software (dokumen Appendix B)</t>
  </si>
  <si>
    <t>Cloudflare R2 $0,015/GB/bln egress $0; Cloudflare Pro $20/bln</t>
  </si>
  <si>
    <t>Mapbox: free 50 rb web loads + 50 rb static + 25 rb mobile MAU + 100 rb geocoding/bln; ~$5/1.000 loads setelahnya</t>
  </si>
  <si>
    <t>Resend: Free 3 rb → Pro $20 (50 rb) → Scale $90 (100 rb); AWS SES $0,10/1.000 email</t>
  </si>
  <si>
    <t>Sentry: Developer free → Team ~$26 → Business ~$80/bln</t>
  </si>
  <si>
    <t>OpenAI / Google Gemini: harga per token publik; multi-provider → model termurah yang memadai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</si>
</sst>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Rp &quot;#,##0"/>
    <numFmt numFmtId="165" formatCode="#,##0.0"/>
    <numFmt numFmtId="166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2C673C"/>
      <sz val="14"/>
    </font>
    <font>
      <i/>
      <color rgb="FF666666"/>
    </font>
    <font>
      <b/>
    </font>
    <font>
      <b/>
      <color rgb="FFFFFFFF"/>
    </font>
    <font>
      <b/>
      <color rgb="FF2C673C"/>
      <sz val="13"/>
    </font>
    <font>
      <i/>
    </font>
    <font>
      <b/>
      <sz val="12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2C673C"/>
      </patternFill>
    </fill>
    <fill>
      <patternFill patternType="solid">
        <fgColor rgb="FFFFF2CC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0" borderId="0" xfId="0" applyNumberFormat="1"/>
    <xf numFmtId="164" fontId="3" fillId="0" borderId="0" xfId="0" applyNumberFormat="1" applyFont="1"/>
    <xf numFmtId="0" fontId="3" fillId="3" borderId="0" xfId="0" applyFont="1" applyFill="1"/>
    <xf numFmtId="0" fontId="4" fillId="4" borderId="0" xfId="0" applyFont="1" applyFill="1"/>
    <xf numFmtId="164" fontId="4" fillId="4" borderId="0" xfId="0" applyNumberFormat="1" applyFont="1" applyFill="1"/>
    <xf numFmtId="9" fontId="3" fillId="0" borderId="0" xfId="0" applyNumberFormat="1" applyFont="1"/>
    <xf numFmtId="0" fontId="5" fillId="0" borderId="0" xfId="0" applyFont="1"/>
    <xf numFmtId="3" fontId="0" fillId="5" borderId="2" xfId="0" applyNumberFormat="1" applyFill="1" applyBorder="1"/>
    <xf numFmtId="9" fontId="0" fillId="5" borderId="2" xfId="0" applyNumberFormat="1" applyFill="1" applyBorder="1"/>
    <xf numFmtId="0" fontId="0" fillId="5" borderId="2" xfId="0" applyFill="1" applyBorder="1"/>
    <xf numFmtId="3" fontId="0" fillId="6" borderId="0" xfId="0" applyNumberFormat="1" applyFill="1"/>
    <xf numFmtId="3" fontId="0" fillId="0" borderId="0" xfId="0" applyNumberFormat="1"/>
    <xf numFmtId="0" fontId="3" fillId="0" borderId="0" xfId="0" applyFont="1"/>
    <xf numFmtId="3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166" fontId="0" fillId="0" borderId="0" xfId="0" applyNumberFormat="1"/>
    <xf numFmtId="164" fontId="3" fillId="2" borderId="0" xfId="0" applyNumberFormat="1" applyFont="1" applyFill="1"/>
    <xf numFmtId="164" fontId="6" fillId="0" borderId="0" xfId="0" applyNumberFormat="1" applyFont="1"/>
    <xf numFmtId="0" fontId="3" fillId="2" borderId="3" xfId="0" applyFont="1" applyFill="1" applyBorder="1"/>
    <xf numFmtId="164" fontId="3" fillId="2" borderId="3" xfId="0" applyNumberFormat="1" applyFont="1" applyFill="1" applyBorder="1"/>
    <xf numFmtId="164" fontId="0" fillId="5" borderId="0" xfId="0" applyNumberFormat="1" applyFill="1"/>
    <xf numFmtId="0" fontId="3" fillId="2" borderId="0" xfId="0" applyFont="1" applyFill="1"/>
    <xf numFmtId="0" fontId="3" fillId="0" borderId="4" xfId="0" applyFont="1" applyBorder="1"/>
    <xf numFmtId="164" fontId="3" fillId="0" borderId="4" xfId="0" applyNumberFormat="1" applyFont="1" applyBorder="1"/>
    <xf numFmtId="0" fontId="7" fillId="2" borderId="0" xfId="0" applyFont="1" applyFill="1"/>
    <xf numFmtId="164" fontId="7" fillId="2" borderId="0" xfId="0" applyNumberFormat="1" applyFont="1" applyFill="1"/>
    <xf numFmtId="0" fontId="8" fillId="4" borderId="0" xfId="0" applyFont="1" applyFill="1"/>
    <xf numFmtId="164" fontId="8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50" customWidth="1"/>
    <col min="2" max="2" width="16" customWidth="1"/>
    <col min="3" max="5" width="18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t="s">
        <v>7</v>
      </c>
      <c r="B5" t="s">
        <v>8</v>
      </c>
      <c r="C5" s="4">
        <f>Server!E12</f>
      </c>
      <c r="D5" s="4">
        <f>Software!C15</f>
      </c>
      <c r="E5" s="5">
        <f>C5+D5</f>
      </c>
    </row>
    <row r="6" spans="1:5" x14ac:dyDescent="0.25">
      <c r="A6" t="s">
        <v>9</v>
      </c>
      <c r="B6" t="s">
        <v>10</v>
      </c>
      <c r="C6" s="4">
        <f>Server!E13</f>
      </c>
      <c r="D6" s="4">
        <f>Software!D15</f>
      </c>
      <c r="E6" s="5">
        <f>C6+D6</f>
      </c>
    </row>
    <row r="7" spans="1:5" x14ac:dyDescent="0.25">
      <c r="A7" t="s">
        <v>11</v>
      </c>
      <c r="B7" t="s">
        <v>12</v>
      </c>
      <c r="C7" s="4">
        <f>Server!E14</f>
      </c>
      <c r="D7" s="4">
        <f>Software!E15</f>
      </c>
      <c r="E7" s="5">
        <f>C7+D7</f>
      </c>
    </row>
    <row r="9" spans="1:5" x14ac:dyDescent="0.25">
      <c r="A9" s="6" t="s">
        <v>13</v>
      </c>
      <c r="B9" s="6"/>
      <c r="C9" s="6"/>
      <c r="D9" s="6"/>
      <c r="E9" s="6"/>
    </row>
    <row r="10" spans="1:3" x14ac:dyDescent="0.25">
      <c r="A10" t="s">
        <v>14</v>
      </c>
      <c r="C10" s="5">
        <f>Anggaran12Bln!C10</f>
      </c>
    </row>
    <row r="11" spans="1:3" x14ac:dyDescent="0.25">
      <c r="A11" s="7" t="s">
        <v>15</v>
      </c>
      <c r="B11" s="7"/>
      <c r="C11" s="8">
        <f>Anggaran12Bln!C11</f>
      </c>
    </row>
    <row r="12" spans="1:3" x14ac:dyDescent="0.25">
      <c r="A12" t="s">
        <v>16</v>
      </c>
      <c r="C12" s="9">
        <f>Anggaran12Bln!C18</f>
      </c>
    </row>
    <row r="14" spans="1:1" x14ac:dyDescent="0.25">
      <c r="A14" s="2" t="s">
        <v>17</v>
      </c>
    </row>
    <row r="15" spans="1:1" x14ac:dyDescent="0.25">
      <c r="A15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FormatPr defaultRowHeight="15" outlineLevelRow="0" outlineLevelCol="0" x14ac:dyDescent="55"/>
  <cols>
    <col min="1" max="1" width="10" customWidth="1"/>
    <col min="2" max="2" width="48" customWidth="1"/>
    <col min="3" max="4" width="16" customWidth="1"/>
    <col min="5" max="5" width="60" customWidth="1"/>
  </cols>
  <sheetData>
    <row r="1" spans="1:5" x14ac:dyDescent="0.25">
      <c r="A1" s="10" t="s">
        <v>19</v>
      </c>
      <c r="B1" s="10"/>
      <c r="C1" s="10"/>
      <c r="D1" s="10"/>
      <c r="E1" s="10"/>
    </row>
    <row r="3" spans="1:5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</row>
    <row r="4" spans="1:5" x14ac:dyDescent="0.25">
      <c r="A4" t="s">
        <v>25</v>
      </c>
      <c r="B4" t="s">
        <v>26</v>
      </c>
      <c r="C4" s="11">
        <v>16000</v>
      </c>
      <c r="D4" t="s">
        <v>27</v>
      </c>
      <c r="E4" t="s">
        <v>28</v>
      </c>
    </row>
    <row r="5" spans="1:5" x14ac:dyDescent="0.25">
      <c r="A5" t="s">
        <v>29</v>
      </c>
      <c r="B5" t="s">
        <v>30</v>
      </c>
      <c r="C5" s="12">
        <v>0.1</v>
      </c>
      <c r="D5" t="s">
        <v>31</v>
      </c>
      <c r="E5" t="s">
        <v>32</v>
      </c>
    </row>
    <row r="6" spans="1:5" x14ac:dyDescent="0.25">
      <c r="A6" t="s">
        <v>33</v>
      </c>
      <c r="B6" t="s">
        <v>34</v>
      </c>
      <c r="C6" s="12">
        <v>0.1</v>
      </c>
      <c r="D6" t="s">
        <v>31</v>
      </c>
      <c r="E6" t="s">
        <v>35</v>
      </c>
    </row>
    <row r="7" spans="1:5" x14ac:dyDescent="0.25">
      <c r="A7" t="s">
        <v>36</v>
      </c>
      <c r="B7" t="s">
        <v>37</v>
      </c>
      <c r="C7" s="13">
        <v>0.1</v>
      </c>
      <c r="D7" t="s">
        <v>38</v>
      </c>
      <c r="E7" t="s">
        <v>39</v>
      </c>
    </row>
    <row r="8" spans="1:5" x14ac:dyDescent="0.25">
      <c r="A8" t="s">
        <v>40</v>
      </c>
      <c r="B8" t="s">
        <v>41</v>
      </c>
      <c r="C8" s="13">
        <v>10</v>
      </c>
      <c r="D8" t="s">
        <v>42</v>
      </c>
      <c r="E8" t="s">
        <v>43</v>
      </c>
    </row>
    <row r="9" spans="1:5" x14ac:dyDescent="0.25">
      <c r="A9" t="s">
        <v>44</v>
      </c>
      <c r="B9" t="s">
        <v>45</v>
      </c>
      <c r="C9" s="12">
        <v>0.7</v>
      </c>
      <c r="D9" t="s">
        <v>31</v>
      </c>
      <c r="E9" t="s">
        <v>46</v>
      </c>
    </row>
    <row r="10" spans="1:5" x14ac:dyDescent="0.25">
      <c r="A10" t="s">
        <v>47</v>
      </c>
      <c r="B10" t="s">
        <v>48</v>
      </c>
      <c r="C10" s="13">
        <v>4.5</v>
      </c>
      <c r="D10" t="s">
        <v>49</v>
      </c>
      <c r="E10" t="s">
        <v>50</v>
      </c>
    </row>
    <row r="11" spans="1:4" x14ac:dyDescent="0.25">
      <c r="A11" t="s">
        <v>51</v>
      </c>
      <c r="B11" t="s">
        <v>52</v>
      </c>
      <c r="C11" s="13">
        <v>2</v>
      </c>
      <c r="D11" t="s">
        <v>42</v>
      </c>
    </row>
    <row r="12" spans="1:5" x14ac:dyDescent="0.25">
      <c r="A12" t="s">
        <v>53</v>
      </c>
      <c r="B12" t="s">
        <v>54</v>
      </c>
      <c r="C12" s="13">
        <v>75</v>
      </c>
      <c r="D12" t="s">
        <v>49</v>
      </c>
      <c r="E12" t="s">
        <v>55</v>
      </c>
    </row>
    <row r="13" spans="1:4" x14ac:dyDescent="0.25">
      <c r="A13" t="s">
        <v>56</v>
      </c>
      <c r="B13" t="s">
        <v>57</v>
      </c>
      <c r="C13" s="13">
        <v>1.5</v>
      </c>
      <c r="D13" t="s">
        <v>58</v>
      </c>
    </row>
    <row r="14" spans="1:4" x14ac:dyDescent="0.25">
      <c r="A14" t="s">
        <v>59</v>
      </c>
      <c r="B14" t="s">
        <v>60</v>
      </c>
      <c r="C14" s="13">
        <v>15</v>
      </c>
      <c r="D14" t="s">
        <v>49</v>
      </c>
    </row>
    <row r="15" spans="1:4" x14ac:dyDescent="0.25">
      <c r="A15" t="s">
        <v>61</v>
      </c>
      <c r="B15" t="s">
        <v>62</v>
      </c>
      <c r="C15" s="12">
        <v>0.1</v>
      </c>
      <c r="D15" t="s">
        <v>31</v>
      </c>
    </row>
    <row r="16" spans="1:4" x14ac:dyDescent="0.25">
      <c r="A16" t="s">
        <v>63</v>
      </c>
      <c r="B16" t="s">
        <v>64</v>
      </c>
      <c r="C16" s="13">
        <v>0.15</v>
      </c>
      <c r="D16" t="s">
        <v>65</v>
      </c>
    </row>
    <row r="17" spans="1:4" x14ac:dyDescent="0.25">
      <c r="A17" t="s">
        <v>66</v>
      </c>
      <c r="B17" t="s">
        <v>67</v>
      </c>
      <c r="C17" s="13">
        <v>0.5</v>
      </c>
      <c r="D17" t="s">
        <v>49</v>
      </c>
    </row>
    <row r="18" spans="1:5" x14ac:dyDescent="0.25">
      <c r="A18" t="s">
        <v>68</v>
      </c>
      <c r="B18" t="s">
        <v>69</v>
      </c>
      <c r="C18" s="13">
        <v>0.015</v>
      </c>
      <c r="D18" t="s">
        <v>70</v>
      </c>
      <c r="E18" t="s">
        <v>71</v>
      </c>
    </row>
    <row r="19" spans="1:5" x14ac:dyDescent="0.25">
      <c r="A19" t="s">
        <v>72</v>
      </c>
      <c r="B19" t="s">
        <v>73</v>
      </c>
      <c r="C19" s="12">
        <v>0.1</v>
      </c>
      <c r="D19" t="s">
        <v>31</v>
      </c>
      <c r="E19" t="s">
        <v>74</v>
      </c>
    </row>
    <row r="20" spans="1:4" x14ac:dyDescent="0.25">
      <c r="A20" t="s">
        <v>75</v>
      </c>
      <c r="B20" t="s">
        <v>76</v>
      </c>
      <c r="C20" s="13">
        <v>2.5</v>
      </c>
      <c r="D20" t="s">
        <v>77</v>
      </c>
    </row>
    <row r="21" spans="1:4" x14ac:dyDescent="0.25">
      <c r="A21" t="s">
        <v>78</v>
      </c>
      <c r="B21" t="s">
        <v>79</v>
      </c>
      <c r="C21" s="13">
        <v>30</v>
      </c>
      <c r="D21" t="s">
        <v>80</v>
      </c>
    </row>
    <row r="22" spans="1:5" x14ac:dyDescent="0.25">
      <c r="A22" t="s">
        <v>81</v>
      </c>
      <c r="B22" t="s">
        <v>82</v>
      </c>
      <c r="C22" s="12">
        <v>0.5</v>
      </c>
      <c r="D22" t="s">
        <v>31</v>
      </c>
      <c r="E22" t="s">
        <v>83</v>
      </c>
    </row>
    <row r="23" spans="1:4" x14ac:dyDescent="0.25">
      <c r="A23" t="s">
        <v>84</v>
      </c>
      <c r="B23" t="s">
        <v>85</v>
      </c>
      <c r="C23" s="13">
        <v>5</v>
      </c>
      <c r="D23" t="s">
        <v>70</v>
      </c>
    </row>
    <row r="24" spans="1:5" x14ac:dyDescent="0.25">
      <c r="A24" t="s">
        <v>86</v>
      </c>
      <c r="B24" t="s">
        <v>87</v>
      </c>
      <c r="C24" s="11">
        <v>50000</v>
      </c>
      <c r="D24" t="s">
        <v>88</v>
      </c>
      <c r="E24" t="s">
        <v>89</v>
      </c>
    </row>
    <row r="25" spans="1:5" x14ac:dyDescent="0.25">
      <c r="A25" t="s">
        <v>90</v>
      </c>
      <c r="B25" t="s">
        <v>91</v>
      </c>
      <c r="C25" s="13">
        <v>0.4</v>
      </c>
      <c r="D25" t="s">
        <v>42</v>
      </c>
      <c r="E25" t="s">
        <v>92</v>
      </c>
    </row>
    <row r="26" spans="1:5" x14ac:dyDescent="0.25">
      <c r="A26" t="s">
        <v>93</v>
      </c>
      <c r="B26" t="s">
        <v>94</v>
      </c>
      <c r="C26" s="13">
        <v>4</v>
      </c>
      <c r="D26" t="s">
        <v>95</v>
      </c>
      <c r="E26" t="s">
        <v>96</v>
      </c>
    </row>
    <row r="27" spans="1:5" x14ac:dyDescent="0.25">
      <c r="A27" t="s">
        <v>97</v>
      </c>
      <c r="B27" t="s">
        <v>98</v>
      </c>
      <c r="C27" s="13">
        <v>3</v>
      </c>
      <c r="D27" t="s">
        <v>42</v>
      </c>
      <c r="E27" t="s">
        <v>99</v>
      </c>
    </row>
    <row r="28" spans="1:5" x14ac:dyDescent="0.25">
      <c r="A28" t="s">
        <v>100</v>
      </c>
      <c r="B28" t="s">
        <v>101</v>
      </c>
      <c r="C28" s="13">
        <v>3</v>
      </c>
      <c r="D28" t="s">
        <v>102</v>
      </c>
      <c r="E28" t="s">
        <v>103</v>
      </c>
    </row>
    <row r="29" spans="1:5" x14ac:dyDescent="0.25">
      <c r="A29" t="s">
        <v>104</v>
      </c>
      <c r="B29" t="s">
        <v>105</v>
      </c>
      <c r="C29" s="13">
        <v>150</v>
      </c>
      <c r="D29" t="s">
        <v>106</v>
      </c>
      <c r="E29" t="s">
        <v>107</v>
      </c>
    </row>
    <row r="30" spans="1:5" x14ac:dyDescent="0.25">
      <c r="A30" t="s">
        <v>108</v>
      </c>
      <c r="B30" t="s">
        <v>109</v>
      </c>
      <c r="C30" s="12">
        <v>0.5</v>
      </c>
      <c r="D30" t="s">
        <v>31</v>
      </c>
      <c r="E30" t="s">
        <v>110</v>
      </c>
    </row>
    <row r="31" spans="1:5" x14ac:dyDescent="0.25">
      <c r="A31" t="s">
        <v>111</v>
      </c>
      <c r="B31" t="s">
        <v>112</v>
      </c>
      <c r="C31" s="13">
        <v>2</v>
      </c>
      <c r="D31" t="s">
        <v>42</v>
      </c>
      <c r="E31" t="s">
        <v>113</v>
      </c>
    </row>
    <row r="33" spans="1:5" x14ac:dyDescent="0.25">
      <c r="A33" s="3" t="s">
        <v>114</v>
      </c>
      <c r="B33" s="3"/>
      <c r="C33" s="3" t="s">
        <v>115</v>
      </c>
      <c r="D33" s="3" t="s">
        <v>116</v>
      </c>
      <c r="E33" s="3" t="s">
        <v>117</v>
      </c>
    </row>
    <row r="34" spans="1:5" x14ac:dyDescent="0.25">
      <c r="A34" t="s">
        <v>118</v>
      </c>
      <c r="B34" t="s">
        <v>119</v>
      </c>
      <c r="C34" s="11">
        <v>2000</v>
      </c>
      <c r="D34" s="11">
        <v>25000</v>
      </c>
      <c r="E34" s="11">
        <v>120000</v>
      </c>
    </row>
    <row r="35" spans="1:5" x14ac:dyDescent="0.25">
      <c r="A35" t="s">
        <v>120</v>
      </c>
      <c r="B35" t="s">
        <v>121</v>
      </c>
      <c r="C35" s="11">
        <v>500</v>
      </c>
      <c r="D35" s="11">
        <v>8000</v>
      </c>
      <c r="E35" s="11">
        <v>30000</v>
      </c>
    </row>
    <row r="36" spans="1:5" x14ac:dyDescent="0.25">
      <c r="A36" t="s">
        <v>122</v>
      </c>
      <c r="B36" t="s">
        <v>123</v>
      </c>
      <c r="C36" s="11">
        <v>30</v>
      </c>
      <c r="D36" s="11">
        <v>150</v>
      </c>
      <c r="E36" s="11">
        <v>400</v>
      </c>
    </row>
    <row r="37" spans="1:5" x14ac:dyDescent="0.25">
      <c r="A37" t="s">
        <v>124</v>
      </c>
      <c r="B37" t="s">
        <v>125</v>
      </c>
      <c r="C37" s="14">
        <f>C36*$C$20</f>
      </c>
      <c r="D37" s="14">
        <f>D36*$C$20</f>
      </c>
      <c r="E37" s="14">
        <f>E36*$C$20</f>
      </c>
    </row>
    <row r="38" spans="1:5" x14ac:dyDescent="0.25">
      <c r="A38" t="s">
        <v>126</v>
      </c>
      <c r="B38" t="s">
        <v>127</v>
      </c>
      <c r="C38" s="11">
        <v>45</v>
      </c>
      <c r="D38" s="11">
        <v>90</v>
      </c>
      <c r="E38" s="11">
        <v>130</v>
      </c>
    </row>
    <row r="39" spans="1:5" x14ac:dyDescent="0.25">
      <c r="A39" t="s">
        <v>128</v>
      </c>
      <c r="B39" t="s">
        <v>129</v>
      </c>
      <c r="C39" s="11">
        <v>1</v>
      </c>
      <c r="D39" s="11">
        <v>15</v>
      </c>
      <c r="E39" s="11">
        <v>80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28" customWidth="1"/>
    <col min="2" max="2" width="40" customWidth="1"/>
    <col min="3" max="3" width="16" customWidth="1"/>
    <col min="4" max="5" width="18" customWidth="1"/>
  </cols>
  <sheetData>
    <row r="1" spans="1:5" x14ac:dyDescent="0.25">
      <c r="A1" s="10" t="s">
        <v>130</v>
      </c>
      <c r="B1" s="10"/>
      <c r="C1" s="10"/>
      <c r="D1" s="10"/>
      <c r="E1" s="10"/>
    </row>
    <row r="3" spans="1:5" x14ac:dyDescent="0.25">
      <c r="A3" s="3" t="s">
        <v>131</v>
      </c>
      <c r="B3" s="3" t="s">
        <v>132</v>
      </c>
      <c r="C3" s="3" t="s">
        <v>115</v>
      </c>
      <c r="D3" s="3" t="s">
        <v>116</v>
      </c>
      <c r="E3" s="3" t="s">
        <v>117</v>
      </c>
    </row>
    <row r="4" spans="1:5" x14ac:dyDescent="0.25">
      <c r="A4" t="s">
        <v>119</v>
      </c>
      <c r="B4" t="s">
        <v>133</v>
      </c>
      <c r="C4" s="15">
        <f>Asumsi!C34</f>
      </c>
      <c r="D4" s="15">
        <f>Asumsi!D34</f>
      </c>
      <c r="E4" s="15">
        <f>Asumsi!E34</f>
      </c>
    </row>
    <row r="5" spans="1:5" x14ac:dyDescent="0.25">
      <c r="A5" t="s">
        <v>134</v>
      </c>
      <c r="B5" t="s">
        <v>135</v>
      </c>
      <c r="C5" s="15">
        <f>C4*Asumsi!$C$5</f>
      </c>
      <c r="D5" s="15">
        <f>D4*Asumsi!$C$5</f>
      </c>
      <c r="E5" s="15">
        <f>E4*Asumsi!$C$5</f>
      </c>
    </row>
    <row r="6" spans="1:5" x14ac:dyDescent="0.25">
      <c r="A6" t="s">
        <v>136</v>
      </c>
      <c r="B6" t="s">
        <v>137</v>
      </c>
      <c r="C6" s="15">
        <f>C5*Asumsi!$C$6</f>
      </c>
      <c r="D6" s="15">
        <f>D5*Asumsi!$C$6</f>
      </c>
      <c r="E6" s="15">
        <f>E5*Asumsi!$C$6</f>
      </c>
    </row>
    <row r="7" spans="1:5" x14ac:dyDescent="0.25">
      <c r="A7" t="s">
        <v>138</v>
      </c>
      <c r="B7" t="s">
        <v>139</v>
      </c>
      <c r="C7" s="15">
        <f>C6*Asumsi!$C$7</f>
      </c>
      <c r="D7" s="15">
        <f>D6*Asumsi!$C$7</f>
      </c>
      <c r="E7" s="15">
        <f>E6*Asumsi!$C$7</f>
      </c>
    </row>
    <row r="8" spans="1:5" x14ac:dyDescent="0.25">
      <c r="A8" s="16" t="s">
        <v>140</v>
      </c>
      <c r="B8" s="16" t="s">
        <v>141</v>
      </c>
      <c r="C8" s="17">
        <f>C7*Asumsi!$C$8</f>
      </c>
      <c r="D8" s="17">
        <f>D7*Asumsi!$C$8</f>
      </c>
      <c r="E8" s="17">
        <f>E7*Asumsi!$C$8</f>
      </c>
    </row>
    <row r="10" spans="1:5" x14ac:dyDescent="0.25">
      <c r="A10" s="6" t="s">
        <v>142</v>
      </c>
      <c r="B10" s="6"/>
      <c r="C10" s="6"/>
      <c r="D10" s="6"/>
      <c r="E10" s="6"/>
    </row>
    <row r="11" spans="1:5" x14ac:dyDescent="0.25">
      <c r="A11" s="16" t="s">
        <v>143</v>
      </c>
      <c r="B11" s="16" t="s">
        <v>144</v>
      </c>
      <c r="C11" s="16" t="s">
        <v>145</v>
      </c>
      <c r="D11" s="16"/>
      <c r="E11" s="16"/>
    </row>
    <row r="12" spans="1:3" x14ac:dyDescent="0.25">
      <c r="A12" t="s">
        <v>146</v>
      </c>
      <c r="B12" t="s">
        <v>147</v>
      </c>
      <c r="C12" t="s">
        <v>148</v>
      </c>
    </row>
    <row r="13" spans="1:3" x14ac:dyDescent="0.25">
      <c r="A13" t="s">
        <v>149</v>
      </c>
      <c r="B13" t="s">
        <v>150</v>
      </c>
      <c r="C13" t="s">
        <v>151</v>
      </c>
    </row>
    <row r="14" spans="1:3" x14ac:dyDescent="0.25">
      <c r="A14" t="s">
        <v>152</v>
      </c>
      <c r="B14" t="s">
        <v>153</v>
      </c>
      <c r="C14" t="s">
        <v>154</v>
      </c>
    </row>
    <row r="15" spans="1:3" x14ac:dyDescent="0.25">
      <c r="A15" t="s">
        <v>155</v>
      </c>
      <c r="B15" t="s">
        <v>156</v>
      </c>
      <c r="C15" t="s">
        <v>157</v>
      </c>
    </row>
    <row r="16" spans="1:3" x14ac:dyDescent="0.25">
      <c r="A16" t="s">
        <v>158</v>
      </c>
      <c r="B16" t="s">
        <v>159</v>
      </c>
      <c r="C16" t="s">
        <v>160</v>
      </c>
    </row>
    <row r="17" spans="1:3" x14ac:dyDescent="0.25">
      <c r="A17" t="s">
        <v>161</v>
      </c>
      <c r="B17" t="s">
        <v>162</v>
      </c>
      <c r="C17" t="s">
        <v>163</v>
      </c>
    </row>
    <row r="19" spans="1:1" x14ac:dyDescent="0.25">
      <c r="A19" s="18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42" customWidth="1"/>
    <col min="2" max="2" width="38" customWidth="1"/>
    <col min="3" max="3" width="20" customWidth="1"/>
    <col min="4" max="5" width="22" customWidth="1"/>
  </cols>
  <sheetData>
    <row r="1" spans="1:5" x14ac:dyDescent="0.25">
      <c r="A1" s="10" t="s">
        <v>165</v>
      </c>
      <c r="B1" s="10"/>
      <c r="C1" s="10"/>
      <c r="D1" s="10"/>
      <c r="E1" s="10"/>
    </row>
    <row r="3" spans="1:5" x14ac:dyDescent="0.25">
      <c r="A3" s="3" t="s">
        <v>166</v>
      </c>
      <c r="B3" s="3" t="s">
        <v>132</v>
      </c>
      <c r="C3" s="3" t="s">
        <v>167</v>
      </c>
      <c r="D3" s="3" t="s">
        <v>168</v>
      </c>
      <c r="E3" s="3" t="s">
        <v>169</v>
      </c>
    </row>
    <row r="4" spans="1:5" x14ac:dyDescent="0.25">
      <c r="A4" t="s">
        <v>170</v>
      </c>
      <c r="B4" t="s">
        <v>171</v>
      </c>
      <c r="C4" s="19">
        <f>Asumsi!C35*Asumsi!$C$11*Asumsi!$C$10/1024</f>
      </c>
      <c r="D4" s="19">
        <f>Asumsi!D35*Asumsi!$C$11*Asumsi!$C$10/1024</f>
      </c>
      <c r="E4" s="19">
        <f>Asumsi!E35*Asumsi!$C$11*Asumsi!$C$10/1024</f>
      </c>
    </row>
    <row r="5" spans="1:5" x14ac:dyDescent="0.25">
      <c r="A5" t="s">
        <v>172</v>
      </c>
      <c r="B5" t="s">
        <v>173</v>
      </c>
      <c r="C5" s="19">
        <f>Asumsi!C37*Asumsi!$C$13*Asumsi!$C$12/1024</f>
      </c>
      <c r="D5" s="19">
        <f>Asumsi!D37*Asumsi!$C$13*Asumsi!$C$12/1024</f>
      </c>
      <c r="E5" s="19">
        <f>Asumsi!E37*Asumsi!$C$13*Asumsi!$C$12/1024</f>
      </c>
    </row>
    <row r="6" spans="1:5" x14ac:dyDescent="0.25">
      <c r="A6" t="s">
        <v>174</v>
      </c>
      <c r="B6" t="s">
        <v>175</v>
      </c>
      <c r="C6" s="19">
        <f>Asumsi!C35*Asumsi!$C$15*Asumsi!$C$14/1024</f>
      </c>
      <c r="D6" s="19">
        <f>Asumsi!D35*Asumsi!$C$15*Asumsi!$C$14/1024</f>
      </c>
      <c r="E6" s="19">
        <f>Asumsi!E35*Asumsi!$C$15*Asumsi!$C$14/1024</f>
      </c>
    </row>
    <row r="7" spans="1:5" x14ac:dyDescent="0.25">
      <c r="A7" t="s">
        <v>176</v>
      </c>
      <c r="B7" t="s">
        <v>177</v>
      </c>
      <c r="C7" s="19">
        <f>Asumsi!C36*Asumsi!$C$16</f>
      </c>
      <c r="D7" s="19">
        <f>Asumsi!D36*Asumsi!$C$16</f>
      </c>
      <c r="E7" s="19">
        <f>Asumsi!E36*Asumsi!$C$16</f>
      </c>
    </row>
    <row r="8" spans="1:5" x14ac:dyDescent="0.25">
      <c r="A8" t="s">
        <v>178</v>
      </c>
      <c r="B8" t="s">
        <v>179</v>
      </c>
      <c r="C8" s="19">
        <f>Asumsi!C35*Asumsi!$C$17/1024</f>
      </c>
      <c r="D8" s="19">
        <f>Asumsi!D35*Asumsi!$C$17/1024</f>
      </c>
      <c r="E8" s="19">
        <f>Asumsi!E35*Asumsi!$C$17/1024</f>
      </c>
    </row>
    <row r="9" spans="1:5" x14ac:dyDescent="0.25">
      <c r="A9" t="s">
        <v>180</v>
      </c>
      <c r="B9" t="s">
        <v>181</v>
      </c>
      <c r="C9" s="19">
        <f>Asumsi!C38*117/1024</f>
      </c>
      <c r="D9" s="19">
        <f>Asumsi!D38*117/1024</f>
      </c>
      <c r="E9" s="19">
        <f>Asumsi!E38*117/1024</f>
      </c>
    </row>
    <row r="10" spans="1:5" x14ac:dyDescent="0.25">
      <c r="A10" t="s">
        <v>182</v>
      </c>
      <c r="B10" t="s">
        <v>183</v>
      </c>
      <c r="C10" s="19">
        <f>Asumsi!C39*Asumsi!$C$31</f>
      </c>
      <c r="D10" s="19">
        <f>Asumsi!D39*Asumsi!$C$31</f>
      </c>
      <c r="E10" s="19">
        <f>Asumsi!E39*Asumsi!$C$31</f>
      </c>
    </row>
    <row r="11" spans="1:5" x14ac:dyDescent="0.25">
      <c r="A11" s="16" t="s">
        <v>184</v>
      </c>
      <c r="B11" s="16" t="s">
        <v>185</v>
      </c>
      <c r="C11" s="20">
        <f>SUM(C4:C10)</f>
      </c>
      <c r="D11" s="20">
        <f>SUM(D4:D10)</f>
      </c>
      <c r="E11" s="20">
        <f>SUM(E4:E10)</f>
      </c>
    </row>
    <row r="12" spans="1:5" x14ac:dyDescent="0.25">
      <c r="A12" s="16" t="s">
        <v>186</v>
      </c>
      <c r="B12" s="16" t="s">
        <v>187</v>
      </c>
      <c r="C12" s="20">
        <f>C11*Asumsi!$C$30</f>
      </c>
      <c r="D12" s="20">
        <f>D11*Asumsi!$C$30</f>
      </c>
      <c r="E12" s="20">
        <f>E11*Asumsi!$C$30</f>
      </c>
    </row>
    <row r="13" spans="1:5" x14ac:dyDescent="0.25">
      <c r="A13" s="16" t="s">
        <v>188</v>
      </c>
      <c r="B13" s="16" t="s">
        <v>189</v>
      </c>
      <c r="C13" s="20">
        <f>C11+C12</f>
      </c>
      <c r="D13" s="20">
        <f>D11+D12</f>
      </c>
      <c r="E13" s="20">
        <f>E11+E12</f>
      </c>
    </row>
    <row r="14" spans="1:5" x14ac:dyDescent="0.25">
      <c r="A14" t="s">
        <v>190</v>
      </c>
      <c r="B14" t="s">
        <v>191</v>
      </c>
      <c r="C14" s="21">
        <f>C13*Asumsi!$C$18</f>
      </c>
      <c r="D14" s="21">
        <f>D13*Asumsi!$C$18</f>
      </c>
      <c r="E14" s="21">
        <f>E13*Asumsi!$C$18</f>
      </c>
    </row>
    <row r="15" spans="1:5" x14ac:dyDescent="0.25">
      <c r="A15" t="s">
        <v>192</v>
      </c>
      <c r="B15" t="s">
        <v>193</v>
      </c>
      <c r="C15" s="22">
        <f>C14*Asumsi!$C$4</f>
      </c>
      <c r="D15" s="22">
        <f>D14*Asumsi!$C$4</f>
      </c>
      <c r="E15" s="22">
        <f>E14*Asumsi!$C$4</f>
      </c>
    </row>
    <row r="17" spans="1:5" x14ac:dyDescent="0.25">
      <c r="A17" s="18" t="s">
        <v>194</v>
      </c>
      <c r="B17" t="s">
        <v>195</v>
      </c>
      <c r="C17" s="23">
        <f>C15*5</f>
      </c>
      <c r="D17" s="23">
        <f>D15*5</f>
      </c>
      <c r="E17" s="23">
        <f>E15*5</f>
      </c>
    </row>
    <row r="18" spans="1:1" x14ac:dyDescent="0.25">
      <c r="A18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40" customWidth="1"/>
    <col min="2" max="2" width="44" customWidth="1"/>
    <col min="3" max="3" width="18" customWidth="1"/>
    <col min="4" max="5" width="20" customWidth="1"/>
    <col min="6" max="6" width="48" customWidth="1"/>
  </cols>
  <sheetData>
    <row r="1" spans="1:6" x14ac:dyDescent="0.25">
      <c r="A1" s="10" t="s">
        <v>197</v>
      </c>
      <c r="B1" s="10"/>
      <c r="C1" s="10"/>
      <c r="D1" s="10"/>
      <c r="E1" s="10"/>
      <c r="F1" s="10"/>
    </row>
    <row r="3" spans="1:6" x14ac:dyDescent="0.25">
      <c r="A3" s="3" t="s">
        <v>198</v>
      </c>
      <c r="B3" s="3" t="s">
        <v>199</v>
      </c>
      <c r="C3" s="3" t="s">
        <v>200</v>
      </c>
      <c r="D3" s="3" t="s">
        <v>201</v>
      </c>
      <c r="E3" s="3" t="s">
        <v>202</v>
      </c>
      <c r="F3" s="3" t="s">
        <v>145</v>
      </c>
    </row>
    <row r="4" spans="1:6" x14ac:dyDescent="0.25">
      <c r="A4" t="s">
        <v>203</v>
      </c>
      <c r="B4" t="s">
        <v>204</v>
      </c>
      <c r="C4" s="4">
        <v>0</v>
      </c>
      <c r="D4" s="4">
        <f>20*Asumsi!$C$4</f>
      </c>
      <c r="E4" s="4">
        <f>20*Asumsi!$C$4</f>
      </c>
      <c r="F4" t="s">
        <v>205</v>
      </c>
    </row>
    <row r="5" spans="1:6" x14ac:dyDescent="0.25">
      <c r="A5" t="s">
        <v>206</v>
      </c>
      <c r="B5" t="s">
        <v>207</v>
      </c>
      <c r="C5" s="4">
        <f>StorageR2!C15</f>
      </c>
      <c r="D5" s="4">
        <f>StorageR2!D15</f>
      </c>
      <c r="E5" s="4">
        <f>StorageR2!E15</f>
      </c>
      <c r="F5" t="s">
        <v>71</v>
      </c>
    </row>
    <row r="6" spans="1:6" x14ac:dyDescent="0.25">
      <c r="A6" t="s">
        <v>208</v>
      </c>
      <c r="B6" t="s">
        <v>209</v>
      </c>
      <c r="C6" s="4">
        <f>MAX(0,C18-Asumsi!$C$24)/1000*Asumsi!$C$23*Asumsi!$C$4</f>
      </c>
      <c r="D6" s="4">
        <f>MAX(0,D18-Asumsi!$C$24)/1000*Asumsi!$C$23*Asumsi!$C$4</f>
      </c>
      <c r="E6" s="4">
        <f>MAX(0,E18-Asumsi!$C$24)/1000*Asumsi!$C$23*Asumsi!$C$4</f>
      </c>
      <c r="F6" t="s">
        <v>210</v>
      </c>
    </row>
    <row r="7" spans="1:6" x14ac:dyDescent="0.25">
      <c r="A7" t="s">
        <v>211</v>
      </c>
      <c r="B7" t="s">
        <v>212</v>
      </c>
      <c r="C7" s="4">
        <f>Beban!C5*Asumsi!$C$28*Asumsi!$C$29</f>
      </c>
      <c r="D7" s="4">
        <f>Beban!D5*Asumsi!$C$28*Asumsi!$C$29</f>
      </c>
      <c r="E7" s="4">
        <f>Beban!E5*Asumsi!$C$28*Asumsi!$C$29</f>
      </c>
      <c r="F7" t="s">
        <v>213</v>
      </c>
    </row>
    <row r="8" spans="1:6" x14ac:dyDescent="0.25">
      <c r="A8" t="s">
        <v>214</v>
      </c>
      <c r="B8" t="s">
        <v>215</v>
      </c>
      <c r="C8" s="4">
        <f>IF(C19&lt;=3000,0,IF(C19&lt;=50000,20*Asumsi!$C$4,IF(C19&lt;=100000,90*Asumsi!$C$4,C19/1000*0.1*Asumsi!$C$4)))</f>
      </c>
      <c r="D8" s="4">
        <f>IF(D19&lt;=3000,0,IF(D19&lt;=50000,20*Asumsi!$C$4,IF(D19&lt;=100000,90*Asumsi!$C$4,D19/1000*0.1*Asumsi!$C$4)))</f>
      </c>
      <c r="E8" s="4">
        <f>IF(E19&lt;=3000,0,IF(E19&lt;=50000,20*Asumsi!$C$4,IF(E19&lt;=100000,90*Asumsi!$C$4,E19/1000*0.1*Asumsi!$C$4)))</f>
      </c>
      <c r="F8" t="s">
        <v>216</v>
      </c>
    </row>
    <row r="9" spans="1:6" x14ac:dyDescent="0.25">
      <c r="A9" t="s">
        <v>217</v>
      </c>
      <c r="B9" t="s">
        <v>218</v>
      </c>
      <c r="C9" s="4">
        <v>0</v>
      </c>
      <c r="D9" s="4">
        <f>26*Asumsi!$C$4</f>
      </c>
      <c r="E9" s="4">
        <f>26*Asumsi!$C$4</f>
      </c>
      <c r="F9" t="s">
        <v>219</v>
      </c>
    </row>
    <row r="10" spans="1:5" x14ac:dyDescent="0.25">
      <c r="A10" t="s">
        <v>220</v>
      </c>
      <c r="B10" t="s">
        <v>221</v>
      </c>
      <c r="C10" s="4">
        <v>0</v>
      </c>
      <c r="D10" s="4">
        <v>0</v>
      </c>
      <c r="E10" s="4">
        <f>25*Asumsi!$C$4</f>
      </c>
    </row>
    <row r="11" spans="1:5" x14ac:dyDescent="0.25">
      <c r="A11" t="s">
        <v>222</v>
      </c>
      <c r="B11" t="s">
        <v>223</v>
      </c>
      <c r="C11" s="4">
        <f>300000/12</f>
      </c>
      <c r="D11" s="4">
        <f>300000/12</f>
      </c>
      <c r="E11" s="4">
        <f>300000/12</f>
      </c>
    </row>
    <row r="12" spans="1:6" x14ac:dyDescent="0.25">
      <c r="A12" t="s">
        <v>224</v>
      </c>
      <c r="B12" t="s">
        <v>225</v>
      </c>
      <c r="C12" s="4">
        <v>0</v>
      </c>
      <c r="D12" s="4">
        <v>0</v>
      </c>
      <c r="E12" s="4">
        <v>0</v>
      </c>
      <c r="F12" t="s">
        <v>226</v>
      </c>
    </row>
    <row r="13" spans="1:6" x14ac:dyDescent="0.25">
      <c r="A13" t="s">
        <v>227</v>
      </c>
      <c r="B13" t="s">
        <v>228</v>
      </c>
      <c r="C13" s="4">
        <v>0</v>
      </c>
      <c r="D13" s="4">
        <v>0</v>
      </c>
      <c r="E13" s="4">
        <v>0</v>
      </c>
      <c r="F13" t="s">
        <v>229</v>
      </c>
    </row>
    <row r="14" spans="1:6" x14ac:dyDescent="0.25">
      <c r="A14" t="s">
        <v>230</v>
      </c>
      <c r="B14" t="s">
        <v>231</v>
      </c>
      <c r="C14" s="4">
        <v>0</v>
      </c>
      <c r="D14" s="4">
        <v>0</v>
      </c>
      <c r="E14" s="4">
        <v>0</v>
      </c>
      <c r="F14" t="s">
        <v>232</v>
      </c>
    </row>
    <row r="15" spans="1:6" x14ac:dyDescent="0.25">
      <c r="A15" s="24" t="s">
        <v>233</v>
      </c>
      <c r="B15" s="24" t="s">
        <v>234</v>
      </c>
      <c r="C15" s="25">
        <f>SUM(C4:C14)</f>
      </c>
      <c r="D15" s="25">
        <f>SUM(D4:D14)</f>
      </c>
      <c r="E15" s="25">
        <f>SUM(E4:E14)</f>
      </c>
      <c r="F15" s="24"/>
    </row>
    <row r="17" spans="1:6" x14ac:dyDescent="0.25">
      <c r="A17" s="6" t="s">
        <v>235</v>
      </c>
      <c r="B17" s="6"/>
      <c r="C17" s="6" t="s">
        <v>236</v>
      </c>
      <c r="D17" s="6" t="s">
        <v>237</v>
      </c>
      <c r="E17" s="6" t="s">
        <v>238</v>
      </c>
      <c r="F17" s="6"/>
    </row>
    <row r="18" spans="1:6" x14ac:dyDescent="0.25">
      <c r="A18" t="s">
        <v>239</v>
      </c>
      <c r="B18" t="s">
        <v>240</v>
      </c>
      <c r="C18" s="15">
        <f>Beban!C5*Asumsi!$C$21*Asumsi!$C$22*Asumsi!$C$25</f>
      </c>
      <c r="D18" s="15">
        <f>Beban!D5*Asumsi!$C$21*Asumsi!$C$22*Asumsi!$C$25</f>
      </c>
      <c r="E18" s="15">
        <f>Beban!E5*Asumsi!$C$21*Asumsi!$C$22*Asumsi!$C$25</f>
      </c>
      <c r="F18" t="s">
        <v>241</v>
      </c>
    </row>
    <row r="19" spans="1:5" x14ac:dyDescent="0.25">
      <c r="A19" t="s">
        <v>242</v>
      </c>
      <c r="B19" t="s">
        <v>243</v>
      </c>
      <c r="C19" s="15">
        <f>Beban!C5*Asumsi!$C$27*Asumsi!$C$26</f>
      </c>
      <c r="D19" s="15">
        <f>Beban!D5*Asumsi!$C$27*Asumsi!$C$26</f>
      </c>
      <c r="E19" s="15">
        <f>Beban!E5*Asumsi!$C$27*Asumsi!$C$26</f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36" customWidth="1"/>
    <col min="2" max="2" width="56" customWidth="1"/>
    <col min="3" max="4" width="16" customWidth="1"/>
    <col min="5" max="5" width="20" customWidth="1"/>
  </cols>
  <sheetData>
    <row r="1" spans="1:5" x14ac:dyDescent="0.25">
      <c r="A1" s="10" t="s">
        <v>244</v>
      </c>
      <c r="B1" s="10"/>
      <c r="C1" s="10"/>
      <c r="D1" s="10"/>
      <c r="E1" s="10"/>
    </row>
    <row r="3" spans="1:5" x14ac:dyDescent="0.25">
      <c r="A3" s="3" t="s">
        <v>143</v>
      </c>
      <c r="B3" s="3" t="s">
        <v>245</v>
      </c>
      <c r="C3" s="3" t="s">
        <v>246</v>
      </c>
      <c r="D3" s="3" t="s">
        <v>247</v>
      </c>
      <c r="E3" s="3" t="s">
        <v>248</v>
      </c>
    </row>
    <row r="4" spans="1:5" x14ac:dyDescent="0.25">
      <c r="A4" t="s">
        <v>249</v>
      </c>
      <c r="B4" t="s">
        <v>250</v>
      </c>
      <c r="C4" s="26">
        <v>150000</v>
      </c>
      <c r="D4" s="26">
        <v>350000</v>
      </c>
      <c r="E4" s="5">
        <f>AVERAGE(C4:D4)</f>
      </c>
    </row>
    <row r="5" spans="1:5" x14ac:dyDescent="0.25">
      <c r="A5" t="s">
        <v>251</v>
      </c>
      <c r="B5" t="s">
        <v>252</v>
      </c>
      <c r="C5" s="26">
        <v>400000</v>
      </c>
      <c r="D5" s="26">
        <v>800000</v>
      </c>
      <c r="E5" s="5">
        <f>AVERAGE(C5:D5)</f>
      </c>
    </row>
    <row r="6" spans="1:5" x14ac:dyDescent="0.25">
      <c r="A6" t="s">
        <v>253</v>
      </c>
      <c r="B6" t="s">
        <v>254</v>
      </c>
      <c r="C6" s="26">
        <v>1300000</v>
      </c>
      <c r="D6" s="26">
        <v>2600000</v>
      </c>
      <c r="E6" s="5">
        <f>AVERAGE(C6:D6)</f>
      </c>
    </row>
    <row r="7" spans="1:5" x14ac:dyDescent="0.25">
      <c r="A7" t="s">
        <v>255</v>
      </c>
      <c r="B7" t="s">
        <v>256</v>
      </c>
      <c r="C7" s="26">
        <v>5000000</v>
      </c>
      <c r="D7" s="26">
        <v>10000000</v>
      </c>
      <c r="E7" s="5">
        <f>AVERAGE(C7:D7)</f>
      </c>
    </row>
    <row r="8" spans="1:5" x14ac:dyDescent="0.25">
      <c r="A8" t="s">
        <v>257</v>
      </c>
      <c r="B8" t="s">
        <v>258</v>
      </c>
      <c r="C8" s="26">
        <v>250000</v>
      </c>
      <c r="D8" s="26">
        <v>500000</v>
      </c>
      <c r="E8" s="5">
        <f>AVERAGE(C8:D8)</f>
      </c>
    </row>
    <row r="10" spans="1:5" x14ac:dyDescent="0.25">
      <c r="A10" s="27" t="s">
        <v>259</v>
      </c>
      <c r="B10" s="27"/>
      <c r="C10" s="27"/>
      <c r="D10" s="27"/>
      <c r="E10" s="27"/>
    </row>
    <row r="11" spans="1:5" x14ac:dyDescent="0.25">
      <c r="A11" s="27" t="s">
        <v>2</v>
      </c>
      <c r="B11" s="27" t="s">
        <v>260</v>
      </c>
      <c r="C11" s="27"/>
      <c r="D11" s="27"/>
      <c r="E11" s="27" t="s">
        <v>261</v>
      </c>
    </row>
    <row r="12" spans="1:5" x14ac:dyDescent="0.25">
      <c r="A12" t="s">
        <v>115</v>
      </c>
      <c r="B12" t="s">
        <v>262</v>
      </c>
      <c r="E12" s="5">
        <f>E4+E5</f>
      </c>
    </row>
    <row r="13" spans="1:5" x14ac:dyDescent="0.25">
      <c r="A13" t="s">
        <v>116</v>
      </c>
      <c r="B13" t="s">
        <v>263</v>
      </c>
      <c r="E13" s="5">
        <f>E4+E6</f>
      </c>
    </row>
    <row r="14" spans="1:5" x14ac:dyDescent="0.25">
      <c r="A14" t="s">
        <v>117</v>
      </c>
      <c r="B14" t="s">
        <v>264</v>
      </c>
      <c r="E14" s="5">
        <f>E8+E7</f>
      </c>
    </row>
    <row r="16" spans="1:1" x14ac:dyDescent="0.25">
      <c r="A16" s="18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FormatPr defaultRowHeight="15" outlineLevelRow="0" outlineLevelCol="0" x14ac:dyDescent="55"/>
  <cols>
    <col min="1" max="1" width="52" customWidth="1"/>
    <col min="2" max="2" width="46" customWidth="1"/>
    <col min="3" max="3" width="20" customWidth="1"/>
  </cols>
  <sheetData>
    <row r="1" spans="1:3" x14ac:dyDescent="0.25">
      <c r="A1" s="10" t="s">
        <v>266</v>
      </c>
      <c r="B1" s="10"/>
      <c r="C1" s="10"/>
    </row>
    <row r="3" spans="1:3" x14ac:dyDescent="0.25">
      <c r="A3" s="3" t="s">
        <v>267</v>
      </c>
      <c r="B3" s="3" t="s">
        <v>268</v>
      </c>
      <c r="C3" s="3" t="s">
        <v>269</v>
      </c>
    </row>
    <row r="4" spans="1:3" x14ac:dyDescent="0.25">
      <c r="A4" t="s">
        <v>270</v>
      </c>
      <c r="B4" t="s">
        <v>271</v>
      </c>
      <c r="C4" s="4">
        <f>12*Server!E4</f>
      </c>
    </row>
    <row r="5" spans="1:3" x14ac:dyDescent="0.25">
      <c r="A5" t="s">
        <v>272</v>
      </c>
      <c r="B5" t="s">
        <v>273</v>
      </c>
      <c r="C5" s="4">
        <f>5*(Server!E5+Software!C15)</f>
      </c>
    </row>
    <row r="6" spans="1:3" x14ac:dyDescent="0.25">
      <c r="A6" t="s">
        <v>274</v>
      </c>
      <c r="B6" t="s">
        <v>275</v>
      </c>
      <c r="C6" s="4">
        <f>7*(Server!E6+Software!D15)</f>
      </c>
    </row>
    <row r="7" spans="1:3" x14ac:dyDescent="0.25">
      <c r="A7" t="s">
        <v>276</v>
      </c>
      <c r="B7" t="s">
        <v>277</v>
      </c>
      <c r="C7" s="4">
        <v>0</v>
      </c>
    </row>
    <row r="8" spans="1:3" x14ac:dyDescent="0.25">
      <c r="A8" s="28" t="s">
        <v>278</v>
      </c>
      <c r="B8" s="28" t="s">
        <v>279</v>
      </c>
      <c r="C8" s="29">
        <f>SUM(C4:C7)</f>
      </c>
    </row>
    <row r="9" spans="1:3" x14ac:dyDescent="0.25">
      <c r="A9" t="s">
        <v>280</v>
      </c>
      <c r="B9" t="s">
        <v>281</v>
      </c>
      <c r="C9" s="4">
        <f>C8*Asumsi!$C$19</f>
      </c>
    </row>
    <row r="10" spans="1:3" x14ac:dyDescent="0.25">
      <c r="A10" s="30" t="s">
        <v>282</v>
      </c>
      <c r="B10" s="30" t="s">
        <v>283</v>
      </c>
      <c r="C10" s="31">
        <f>C8+C9</f>
      </c>
    </row>
    <row r="11" spans="1:3" x14ac:dyDescent="0.25">
      <c r="A11" s="32" t="s">
        <v>284</v>
      </c>
      <c r="B11" s="32" t="s">
        <v>285</v>
      </c>
      <c r="C11" s="33">
        <v>50000000</v>
      </c>
    </row>
    <row r="12" spans="1:3" x14ac:dyDescent="0.25">
      <c r="A12" t="s">
        <v>286</v>
      </c>
      <c r="B12" t="s">
        <v>287</v>
      </c>
      <c r="C12" s="4">
        <f>C11-C10</f>
      </c>
    </row>
    <row r="14" spans="1:3" x14ac:dyDescent="0.25">
      <c r="A14" s="6" t="s">
        <v>288</v>
      </c>
      <c r="B14" s="6"/>
      <c r="C14" s="6"/>
    </row>
    <row r="15" spans="1:3" x14ac:dyDescent="0.25">
      <c r="A15" t="s">
        <v>289</v>
      </c>
      <c r="B15" t="s">
        <v>290</v>
      </c>
      <c r="C15" s="4">
        <f>3600*Asumsi!$C$4</f>
      </c>
    </row>
    <row r="16" spans="1:3" x14ac:dyDescent="0.25">
      <c r="A16" t="s">
        <v>291</v>
      </c>
      <c r="B16" t="s">
        <v>292</v>
      </c>
      <c r="C16" s="4">
        <f>12000*Asumsi!$C$4</f>
      </c>
    </row>
    <row r="17" spans="1:3" x14ac:dyDescent="0.25">
      <c r="A17" t="s">
        <v>293</v>
      </c>
      <c r="B17" t="s">
        <v>294</v>
      </c>
      <c r="C17" s="9">
        <f>C10/C15</f>
      </c>
    </row>
    <row r="18" spans="1:3" x14ac:dyDescent="0.25">
      <c r="A18" t="s">
        <v>295</v>
      </c>
      <c r="B18" t="s">
        <v>296</v>
      </c>
      <c r="C18" s="9">
        <f>C10/C16</f>
      </c>
    </row>
    <row r="20" spans="1:1" x14ac:dyDescent="0.25">
      <c r="A20" s="18" t="s">
        <v>297</v>
      </c>
    </row>
    <row r="22" spans="1:3" x14ac:dyDescent="0.25">
      <c r="A22" s="6" t="s">
        <v>298</v>
      </c>
      <c r="B22" s="6"/>
      <c r="C22" s="6"/>
    </row>
    <row r="23" spans="1:3" x14ac:dyDescent="0.25">
      <c r="A23" t="s">
        <v>299</v>
      </c>
      <c r="B23" t="s">
        <v>300</v>
      </c>
      <c r="C23" s="4">
        <f>12*Server!E4+3*(Server!E5+Software!C15)+9*(Server!E6+Software!D15)</f>
      </c>
    </row>
    <row r="24" spans="1:3" x14ac:dyDescent="0.25">
      <c r="A24" t="s">
        <v>280</v>
      </c>
      <c r="B24" t="s">
        <v>301</v>
      </c>
      <c r="C24" s="4">
        <f>C23*Asumsi!$C$19</f>
      </c>
    </row>
    <row r="25" spans="1:3" x14ac:dyDescent="0.25">
      <c r="A25" s="16" t="s">
        <v>302</v>
      </c>
      <c r="B25" s="16" t="s">
        <v>283</v>
      </c>
      <c r="C25" s="5">
        <f>C23+C24</f>
      </c>
    </row>
    <row r="26" spans="1:3" x14ac:dyDescent="0.25">
      <c r="A26" t="s">
        <v>303</v>
      </c>
      <c r="B26" t="s">
        <v>304</v>
      </c>
      <c r="C26" s="4">
        <f>C11-C25</f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34" customWidth="1"/>
    <col min="2" max="3" width="26" customWidth="1"/>
    <col min="4" max="4" width="70" customWidth="1"/>
  </cols>
  <sheetData>
    <row r="1" spans="1:4" x14ac:dyDescent="0.25">
      <c r="A1" s="10" t="s">
        <v>305</v>
      </c>
      <c r="B1" s="10"/>
      <c r="C1" s="10"/>
      <c r="D1" s="10"/>
    </row>
    <row r="3" spans="1:4" x14ac:dyDescent="0.25">
      <c r="A3" s="3" t="s">
        <v>306</v>
      </c>
      <c r="B3" s="3" t="s">
        <v>307</v>
      </c>
      <c r="C3" s="3" t="s">
        <v>308</v>
      </c>
      <c r="D3" s="3" t="s">
        <v>145</v>
      </c>
    </row>
    <row r="4" spans="1:4" x14ac:dyDescent="0.25">
      <c r="A4" t="s">
        <v>309</v>
      </c>
      <c r="B4" t="s">
        <v>310</v>
      </c>
      <c r="C4" t="s">
        <v>311</v>
      </c>
      <c r="D4" t="s">
        <v>312</v>
      </c>
    </row>
    <row r="5" spans="1:4" x14ac:dyDescent="0.25">
      <c r="A5" t="s">
        <v>313</v>
      </c>
      <c r="B5" t="s">
        <v>314</v>
      </c>
      <c r="C5" t="s">
        <v>311</v>
      </c>
      <c r="D5" t="s">
        <v>315</v>
      </c>
    </row>
    <row r="6" spans="1:4" x14ac:dyDescent="0.25">
      <c r="A6" t="s">
        <v>316</v>
      </c>
      <c r="B6" t="s">
        <v>317</v>
      </c>
      <c r="C6" t="s">
        <v>318</v>
      </c>
      <c r="D6" t="s">
        <v>319</v>
      </c>
    </row>
    <row r="7" spans="1:4" x14ac:dyDescent="0.25">
      <c r="A7" t="s">
        <v>320</v>
      </c>
      <c r="B7" t="s">
        <v>321</v>
      </c>
      <c r="C7" t="s">
        <v>322</v>
      </c>
      <c r="D7" t="s">
        <v>323</v>
      </c>
    </row>
    <row r="9" spans="1:4" x14ac:dyDescent="0.25">
      <c r="A9" s="16" t="s">
        <v>324</v>
      </c>
      <c r="B9" s="16"/>
      <c r="C9" s="16"/>
      <c r="D9" s="16"/>
    </row>
    <row r="11" spans="1:4" x14ac:dyDescent="0.25">
      <c r="A11" s="6" t="s">
        <v>325</v>
      </c>
      <c r="B11" s="6"/>
      <c r="C11" s="6"/>
      <c r="D11" s="6"/>
    </row>
    <row r="12" spans="1:1" x14ac:dyDescent="0.25">
      <c r="A12" t="s">
        <v>326</v>
      </c>
    </row>
    <row r="13" spans="1:1" x14ac:dyDescent="0.25">
      <c r="A13" t="s">
        <v>327</v>
      </c>
    </row>
    <row r="14" spans="1:1" x14ac:dyDescent="0.25">
      <c r="A14" t="s">
        <v>328</v>
      </c>
    </row>
    <row r="15" spans="1:1" x14ac:dyDescent="0.25">
      <c r="A15" t="s">
        <v>329</v>
      </c>
    </row>
    <row r="16" spans="1:1" x14ac:dyDescent="0.25">
      <c r="A16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Asumsi</vt:lpstr>
      <vt:lpstr>Beban</vt:lpstr>
      <vt:lpstr>StorageR2</vt:lpstr>
      <vt:lpstr>Software</vt:lpstr>
      <vt:lpstr>Server</vt:lpstr>
      <vt:lpstr>Anggaran12Bln</vt:lpstr>
      <vt:lpstr>Pembanding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2026-07-11T12:31:09Z</dcterms:created>
  <dcterms:modified xsi:type="dcterms:W3CDTF">2026-07-11T12:31:09Z</dcterms:modified>
</cp:coreProperties>
</file>