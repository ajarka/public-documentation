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sumsi" state="visible" r:id="rId5"/>
    <sheet sheetId="3" name="Beban" state="visible" r:id="rId6"/>
    <sheet sheetId="4" name="StorageR2" state="visible" r:id="rId7"/>
    <sheet sheetId="5" name="Software" state="visible" r:id="rId8"/>
    <sheet sheetId="6" name="Server" state="visible" r:id="rId9"/>
    <sheet sheetId="7" name="Anggaran12Bln" state="visible" r:id="rId10"/>
    <sheet sheetId="8" name="Pembanding" state="visible" r:id="rId11"/>
    <sheet sheetId="9" name="OnPremise" state="visible" r:id="rId12"/>
    <sheet sheetId="10" name="SDM" state="visible" r:id="rId13"/>
  </sheets>
  <calcPr calcId="171027"/>
</workbook>
</file>

<file path=xl/sharedStrings.xml><?xml version="1.0" encoding="utf-8"?>
<sst xmlns="http://schemas.openxmlformats.org/spreadsheetml/2006/main" count="533" uniqueCount="489">
  <si>
    <t>AdopTree World — Perhitungan Kapasitas &amp; Anggaran Infrastruktur (Staging + Production)</t>
  </si>
  <si>
    <t>Pendamping dokumen: kapasitas-sistem-staging-production.md · ringkasan-pengajuan.md — 11 Juli 2026 (rev v1.6: 18 Juli — + ArcGIS · AccuWeather · DeepSeek · AI internal) · Aditira Jamhuri (CTO)</t>
  </si>
  <si>
    <t>Fase</t>
  </si>
  <si>
    <t>Periode</t>
  </si>
  <si>
    <t>Server (Rp/bln)</t>
  </si>
  <si>
    <t>Software (Rp/bln)</t>
  </si>
  <si>
    <t>TOTAL (Rp/bln)</t>
  </si>
  <si>
    <t>Launch (≤ 2.000 akun)</t>
  </si>
  <si>
    <t>Agu–Des 2026</t>
  </si>
  <si>
    <t>Growth Y1 (≤ 25 rb akun)</t>
  </si>
  <si>
    <t>2027</t>
  </si>
  <si>
    <t>Scale Y2 (≤ 120 rb akun)</t>
  </si>
  <si>
    <t>2028</t>
  </si>
  <si>
    <t>Anggaran 12 bulan pertama (Agu 2026 – Jul 2027)</t>
  </si>
  <si>
    <t>Total proyeksi realisasi — base, upgrade per trigger (termasuk buffer 10%); skenario upgrade dini ≈ Rp 82 jt di sheet Anggaran12Bln (v1.6: termasuk ArcGIS + AccuWeather + AI)</t>
  </si>
  <si>
    <t>PLAFON diajukan untuk persetujuan</t>
  </si>
  <si>
    <t>Rasio realisasi base terhadap alokasi infrastruktur PRD §14.4 tahun 2027 (plafon ≈ 45%)</t>
  </si>
  <si>
    <t>Cara pakai: seluruh sel KUNING di sheet Asumsi adalah input — ubah nilainya (kurs, %DAU, harga, volume anchor) dan seluruh workbook menghitung ulang.</t>
  </si>
  <si>
    <t>Buka di Microsoft Excel / LibreOffice / Google Sheets agar formula terevaluasi. Metodologi &amp; justifikasi lengkap: kapasitas-sistem-staging-production.md.</t>
  </si>
  <si>
    <t>Asumsi &amp; Parameter — sel KUNING adalah input; ubah nilainya, seluruh workbook menghitung ulang</t>
  </si>
  <si>
    <t>Kode</t>
  </si>
  <si>
    <t>Parameter</t>
  </si>
  <si>
    <t>Nilai</t>
  </si>
  <si>
    <t>Satuan</t>
  </si>
  <si>
    <t>Catatan / Sensitivitas</t>
  </si>
  <si>
    <t>KURS</t>
  </si>
  <si>
    <t>Kurs USD → IDR</t>
  </si>
  <si>
    <t>Rp/USD</t>
  </si>
  <si>
    <t>Fluktuasi ditampung buffer 10%</t>
  </si>
  <si>
    <t>A1</t>
  </si>
  <si>
    <t>DAU sebagai % akun terdaftar</t>
  </si>
  <si>
    <t>%</t>
  </si>
  <si>
    <t>×2 → tetap &lt; 20% utilisasi Tier 1</t>
  </si>
  <si>
    <t>A2</t>
  </si>
  <si>
    <t>Concurrent peak sebagai % DAU</t>
  </si>
  <si>
    <t>jam sibuk malam/akhir pekan</t>
  </si>
  <si>
    <t>A3</t>
  </si>
  <si>
    <t>RPS per user aktif</t>
  </si>
  <si>
    <t>RPS</t>
  </si>
  <si>
    <t>≈ 6 request/menit saat aktif</t>
  </si>
  <si>
    <t>A4</t>
  </si>
  <si>
    <t>Faktor lonjakan trafik</t>
  </si>
  <si>
    <t>×</t>
  </si>
  <si>
    <t>kampanye/PR; 20× dianalisis di dokumen §7.1</t>
  </si>
  <si>
    <t>A5</t>
  </si>
  <si>
    <t>CDN offload halaman publik</t>
  </si>
  <si>
    <t>konservatif; realita biasanya &gt; 85%</t>
  </si>
  <si>
    <t>A6a</t>
  </si>
  <si>
    <t>Foto per inspeksi (3 × 1,5 MB)</t>
  </si>
  <si>
    <t>MB</t>
  </si>
  <si>
    <t>watermark anti-tamper</t>
  </si>
  <si>
    <t>A6b</t>
  </si>
  <si>
    <t>Inspeksi per pohon per tahun</t>
  </si>
  <si>
    <t>A12a</t>
  </si>
  <si>
    <t>Ukuran video</t>
  </si>
  <si>
    <t>profil/galeri lahan, posts</t>
  </si>
  <si>
    <t>A12b</t>
  </si>
  <si>
    <t>Video per lahan aktif</t>
  </si>
  <si>
    <t>video</t>
  </si>
  <si>
    <t>SPH1</t>
  </si>
  <si>
    <t>Ukuran photo sphere 360°</t>
  </si>
  <si>
    <t>SPH2</t>
  </si>
  <si>
    <t>% pohon dengan photo sphere</t>
  </si>
  <si>
    <t>GAL</t>
  </si>
  <si>
    <t>Media galeri/forum per merchant</t>
  </si>
  <si>
    <t>GB</t>
  </si>
  <si>
    <t>CERT</t>
  </si>
  <si>
    <t>Sertifikat/laporan per adopsi</t>
  </si>
  <si>
    <t>R2P</t>
  </si>
  <si>
    <t>Harga R2 per GB per bulan</t>
  </si>
  <si>
    <t>USD</t>
  </si>
  <si>
    <t>egress gratis</t>
  </si>
  <si>
    <t>BUF</t>
  </si>
  <si>
    <t>Buffer anggaran</t>
  </si>
  <si>
    <t>baris tersendiri di Anggaran12Bln</t>
  </si>
  <si>
    <t>LHN</t>
  </si>
  <si>
    <t>Lahan aktif per merchant</t>
  </si>
  <si>
    <t>lahan</t>
  </si>
  <si>
    <t>MAP1</t>
  </si>
  <si>
    <t>Sesi per DAU per bulan</t>
  </si>
  <si>
    <t>sesi</t>
  </si>
  <si>
    <t>MAP2</t>
  </si>
  <si>
    <t>% sesi membuka peta</t>
  </si>
  <si>
    <t>peta = fitur inti AdopTree</t>
  </si>
  <si>
    <t>MAP3</t>
  </si>
  <si>
    <t>Harga Mapbox per 1.000 loads di atas free tier</t>
  </si>
  <si>
    <t>MAP4</t>
  </si>
  <si>
    <t>Free tier Mapbox</t>
  </si>
  <si>
    <t>loads/bln</t>
  </si>
  <si>
    <t>web GL loads</t>
  </si>
  <si>
    <t>MAP5</t>
  </si>
  <si>
    <t>Faktor mitigasi peta (thumbnail statis + lazy-load)</t>
  </si>
  <si>
    <t>porsi sesi peta yang benar-benar memuat peta interaktif</t>
  </si>
  <si>
    <t>EML1</t>
  </si>
  <si>
    <t>Email per akun aktif per bulan</t>
  </si>
  <si>
    <t>email</t>
  </si>
  <si>
    <t>rentang dokumen: 2–6</t>
  </si>
  <si>
    <t>EML2</t>
  </si>
  <si>
    <t>Akun aktif = DAU ×</t>
  </si>
  <si>
    <t>proxy MAU</t>
  </si>
  <si>
    <t>AI1</t>
  </si>
  <si>
    <t>Percakapan Tira per DAU per bulan</t>
  </si>
  <si>
    <t>percakapan</t>
  </si>
  <si>
    <t>co-pilot + support 24/7</t>
  </si>
  <si>
    <t>AI2</t>
  </si>
  <si>
    <t>Biaya AI per percakapan (DeepSeek V4 Flash — revisi v1.6; provider lama Rp 150)</t>
  </si>
  <si>
    <t>12</t>
  </si>
  <si>
    <t>Rp</t>
  </si>
  <si>
    <t>rentang A11: 50–300; cap harian fail-closed membatasi maksimum</t>
  </si>
  <si>
    <t>GRW</t>
  </si>
  <si>
    <t>Cadangan pertumbuhan konten media</t>
  </si>
  <si>
    <t>penebal konservatif atas seluruh media terhitung</t>
  </si>
  <si>
    <t>BKP</t>
  </si>
  <si>
    <t>Faktor backup (× ukuran DB, retensi 30 hari)</t>
  </si>
  <si>
    <t>WAL + basebackup</t>
  </si>
  <si>
    <t>Anchor volume (PRD §14.2)</t>
  </si>
  <si>
    <t>Launch 2026</t>
  </si>
  <si>
    <t>Growth Y1 2027</t>
  </si>
  <si>
    <t>Scale Y2 2028</t>
  </si>
  <si>
    <t>AKUN</t>
  </si>
  <si>
    <t>Akun terdaftar</t>
  </si>
  <si>
    <t>POHON</t>
  </si>
  <si>
    <t>Pohon teradopsi (kumulatif)</t>
  </si>
  <si>
    <t>MRCH</t>
  </si>
  <si>
    <t>Merchant aktif</t>
  </si>
  <si>
    <t>LAHAN</t>
  </si>
  <si>
    <t>Lahan aktif (= merchant × LHN)</t>
  </si>
  <si>
    <t>APK</t>
  </si>
  <si>
    <t>Build APK kumulatif (±117 MB/build)</t>
  </si>
  <si>
    <t>DB</t>
  </si>
  <si>
    <t>Proyeksi ukuran database (GB)</t>
  </si>
  <si>
    <t>Langganan strategis (keputusan founder 18 Jul 2026 — revisi v1.6)</t>
  </si>
  <si>
    <t>Launch</t>
  </si>
  <si>
    <t>Y1</t>
  </si>
  <si>
    <t>Y2</t>
  </si>
  <si>
    <t>ARC1</t>
  </si>
  <si>
    <t>Harga ArcGIS Online Creator per user per TAHUN (USD; list $700–1.191 — A13)</t>
  </si>
  <si>
    <t>ARC2</t>
  </si>
  <si>
    <t>Jumlah seat ArcGIS per fase</t>
  </si>
  <si>
    <t>ACW</t>
  </si>
  <si>
    <t>Paket AccuWeather per bulan (USD; Standard $25, naik bila volume)</t>
  </si>
  <si>
    <t>AIENG</t>
  </si>
  <si>
    <t>AI internal engineering per bulan (USD; Claude/GPT, 1 seat Pro→Max)</t>
  </si>
  <si>
    <t>Model Beban — formula eksplisit dari anchor PRD §14.2 (dokumen §3)</t>
  </si>
  <si>
    <t>Metrik</t>
  </si>
  <si>
    <t>Formula</t>
  </si>
  <si>
    <t>anchor PRD §14.2 (sheet Asumsi)</t>
  </si>
  <si>
    <t>DAU</t>
  </si>
  <si>
    <t>akun × A1</t>
  </si>
  <si>
    <t>Concurrent peak</t>
  </si>
  <si>
    <t>DAU × A2</t>
  </si>
  <si>
    <t>RPS nominal</t>
  </si>
  <si>
    <t>concurrent × A3</t>
  </si>
  <si>
    <t>RPS target sizing</t>
  </si>
  <si>
    <t>nominal × A4 (lonjakan)</t>
  </si>
  <si>
    <t>Kapasitas komponen (acuan praktik industri — konservatif; dokumen §3.3)</t>
  </si>
  <si>
    <t>Komponen</t>
  </si>
  <si>
    <t>Kapasitas aman per unit</t>
  </si>
  <si>
    <t>Catatan</t>
  </si>
  <si>
    <t>Rust/Axum BE</t>
  </si>
  <si>
    <t>≥ 2.000 RPS/core</t>
  </si>
  <si>
    <t>praktis bukan bottleneck sampai Y2</t>
  </si>
  <si>
    <t>Next.js SSR</t>
  </si>
  <si>
    <t>50–150 RPS/core</t>
  </si>
  <si>
    <t>dimitigasi CDN offload (A5)</t>
  </si>
  <si>
    <t>PostgreSQL + PostGIS</t>
  </si>
  <si>
    <t>500–1.000 tx tulis/s</t>
  </si>
  <si>
    <t>pool koneksi + IOPS NVMe</t>
  </si>
  <si>
    <t>Redis</t>
  </si>
  <si>
    <t>50.000+ ops/s</t>
  </si>
  <si>
    <t>bukan bottleneck</t>
  </si>
  <si>
    <t>Meilisearch</t>
  </si>
  <si>
    <t>ribuan query/s</t>
  </si>
  <si>
    <t>RAM indeks kecil</t>
  </si>
  <si>
    <t>ML Tree Service</t>
  </si>
  <si>
    <t>on-demand, antre</t>
  </si>
  <si>
    <t>RAM 1–2 GB saat inferensi</t>
  </si>
  <si>
    <t>Kesimpulan: throughput bukan pendorong biaya — pendorongnya availability + keamanan data (isolasi, backup, enkripsi) + RAM layanan pendukung.</t>
  </si>
  <si>
    <t>Storage R2 — SELURUH konten media platform (dokumen §4.1); egress GRATIS berapa pun trafiknya</t>
  </si>
  <si>
    <t>Item</t>
  </si>
  <si>
    <t>Launch 2026 (GB)</t>
  </si>
  <si>
    <t>Growth Y1 2027 (GB)</t>
  </si>
  <si>
    <t>Scale Y2 2028 (GB)</t>
  </si>
  <si>
    <t>Foto inspeksi lapangan (jejak audit ESG)</t>
  </si>
  <si>
    <t>pohon × A6b × A6a / 1024</t>
  </si>
  <si>
    <t>Video (profil/galeri lahan, posts, landing)</t>
  </si>
  <si>
    <t>lahan aktif × A12b × A12a / 1024</t>
  </si>
  <si>
    <t>Photo sphere 360°</t>
  </si>
  <si>
    <t>pohon × SPH2 × SPH1 / 1024</t>
  </si>
  <si>
    <t>Galeri foto lahan, avatar, media forum</t>
  </si>
  <si>
    <t>merchant × GAL</t>
  </si>
  <si>
    <t>Sertifikat PDF + laporan ESG</t>
  </si>
  <si>
    <t>pohon × CERT / 1024</t>
  </si>
  <si>
    <t>APK releases (retensi seluruh build)</t>
  </si>
  <si>
    <t>build × 117 MB / 1024</t>
  </si>
  <si>
    <t>Backup DB (retensi 30 hari)</t>
  </si>
  <si>
    <t>ukuran DB × BKP</t>
  </si>
  <si>
    <t>Subtotal terhitung</t>
  </si>
  <si>
    <t>jumlah baris di atas</t>
  </si>
  <si>
    <t>Cadangan pertumbuhan konten (GRW)</t>
  </si>
  <si>
    <t>subtotal × GRW</t>
  </si>
  <si>
    <t>TOTAL storage (GB)</t>
  </si>
  <si>
    <t>subtotal + cadangan</t>
  </si>
  <si>
    <t>Biaya per bulan (USD)</t>
  </si>
  <si>
    <t>total GB × R2P</t>
  </si>
  <si>
    <t>Biaya per bulan (Rp)</t>
  </si>
  <si>
    <t>USD × KURS</t>
  </si>
  <si>
    <t>Skenario media 5× proyeksi (Rp/bln)</t>
  </si>
  <si>
    <t>biaya Rp × 5</t>
  </si>
  <si>
    <t>Catatan: bahkan skenario 5× di Y2 tetap &lt; 15% anggaran bulanan fase tersebut — egress tetap Rp 0. Jalur adaptive streaming (Cloudflare Stream) via revisi anggaran.</t>
  </si>
  <si>
    <t>Inventaris Langganan Software — LENGKAP, termasuk yang Rp 0 (dokumen §8.1); titik tengah realistis per bulan</t>
  </si>
  <si>
    <t>Layanan</t>
  </si>
  <si>
    <t>Basis perhitungan</t>
  </si>
  <si>
    <t>Launch 2026 (Rp/bln)</t>
  </si>
  <si>
    <t>Growth Y1 2027 (Rp/bln)</t>
  </si>
  <si>
    <t>Scale Y2 2028 (Rp/bln)</t>
  </si>
  <si>
    <t>Cloudflare (plan)</t>
  </si>
  <si>
    <t>Free → Pro $20/bln mulai Y1</t>
  </si>
  <si>
    <t>Y2 bisa naik Business bila perlu</t>
  </si>
  <si>
    <t>Cloudflare R2</t>
  </si>
  <si>
    <t>sheet StorageR2 (seluruh konten media)</t>
  </si>
  <si>
    <t>Mapbox</t>
  </si>
  <si>
    <t>MAX(0; loads efektif − free tier) / 1000 × MAP3 × KURS</t>
  </si>
  <si>
    <t>loads efektif di baris 18 (sudah termasuk mitigasi MAP5)</t>
  </si>
  <si>
    <t>Tira AI komersial — DeepSeek API (multi-provider, switch runtime)</t>
  </si>
  <si>
    <t>DAU × AI1 × AI2</t>
  </si>
  <si>
    <t>cap harian fail-closed built-in membatasi maksimum</t>
  </si>
  <si>
    <t>Email transaksional (Resend → SES)</t>
  </si>
  <si>
    <t>tier dari volume email di baris 19</t>
  </si>
  <si>
    <t>Free 3rb → Pro $20 → Scale $90 → SES $0,10/1.000</t>
  </si>
  <si>
    <t>Sentry (error monitoring)</t>
  </si>
  <si>
    <t>Free → Team ~$26 mulai Y1</t>
  </si>
  <si>
    <t>Business ~$80 bila dibutuhkan</t>
  </si>
  <si>
    <t>Uptime monitor (+ APM di Y2)</t>
  </si>
  <si>
    <t>Free → ~$25</t>
  </si>
  <si>
    <t>Domain adoptreeworld.com</t>
  </si>
  <si>
    <t>~Rp 300 rb/tahun ÷ 12</t>
  </si>
  <si>
    <t>Container registry</t>
  </si>
  <si>
    <t>GHCR gratis</t>
  </si>
  <si>
    <t>Docker Hub Pro ~$11 bila diperlukan</t>
  </si>
  <si>
    <t>FCM + Web Push (VAPID)</t>
  </si>
  <si>
    <t>gratis / standar terbuka</t>
  </si>
  <si>
    <t>push mobile + browser</t>
  </si>
  <si>
    <t>Jenkins · GitHub · Google OAuth · Instagram Graph API · Sentinel-2 · Meilisearch · Redis · PostgreSQL+PostGIS · ML service · OSS</t>
  </si>
  <si>
    <t>self-host / free plan</t>
  </si>
  <si>
    <t>tercantum agar terlihat tidak ada yang terlewat</t>
  </si>
  <si>
    <t>SUBTOTAL SOFTWARE</t>
  </si>
  <si>
    <t>jumlah baris 4–14 + langganan strategis (baris 22–24)</t>
  </si>
  <si>
    <t>v1.6: termasuk ArcGIS + AccuWeather + AI internal; Tira = DeepSeek</t>
  </si>
  <si>
    <t>Metrik volume (dasar formula di atas)</t>
  </si>
  <si>
    <t>Mapbox loads efektif / bln</t>
  </si>
  <si>
    <t>DAU × MAP1 × MAP2 × MAP5</t>
  </si>
  <si>
    <t>free tier 50 rb loads (MAP4)</t>
  </si>
  <si>
    <t>Volume email / bln</t>
  </si>
  <si>
    <t>DAU × EML2 × EML1</t>
  </si>
  <si>
    <t>Langganan strategis (keputusan founder 18 Jul 2026 — v1.6; masuk SUBTOTAL baris 15)</t>
  </si>
  <si>
    <t>ArcGIS Online (Esri) — analisis GIS profesional &amp; peta MRV</t>
  </si>
  <si>
    <t>ARC1 × seat ÷ 12 × KURS (dibayar tahunan di muka)</t>
  </si>
  <si>
    <t>Creator $700–1.191/user/th; minta penawaran Esri Indonesia saat pengadaan (A13)</t>
  </si>
  <si>
    <t>AccuWeather API — cuaca per lahan</t>
  </si>
  <si>
    <t>ACW × KURS (cache server-side per lahan/jam menekan volume)</t>
  </si>
  <si>
    <t>Trial gratis → Standard $25 (225 rb calls) → Elite $500</t>
  </si>
  <si>
    <t>AI internal engineering — Claude Code / ChatGPT</t>
  </si>
  <si>
    <t>AIENG × KURS</t>
  </si>
  <si>
    <t>khusus internal engineering (komersial = DeepSeek, baris 7)</t>
  </si>
  <si>
    <t>Spesifikasi &amp; Harga Server per Tier (dokumen §5) — rentang = harga pasar 4 provider (sheet Pembanding)</t>
  </si>
  <si>
    <t>Spesifikasi</t>
  </si>
  <si>
    <t>Min (Rp/bln)</t>
  </si>
  <si>
    <t>Max (Rp/bln)</t>
  </si>
  <si>
    <t>Titik tengah (Rp/bln)</t>
  </si>
  <si>
    <t>VPS Staging (semua fase)</t>
  </si>
  <si>
    <t>2 vCPU / 4 GB / 80 GB NVMe — stack lengkap + Jenkins CI/CD</t>
  </si>
  <si>
    <t>Production Tier 1 — Launch</t>
  </si>
  <si>
    <t>4 vCPU / 8 GB / 160 GB NVMe, DC Indonesia (UU PDP)</t>
  </si>
  <si>
    <t>Production Tier 2 — Growth Y1</t>
  </si>
  <si>
    <t>App node 8 vCPU/16 GB + DB node terpisah 4 vCPU/8 GB NVMe</t>
  </si>
  <si>
    <t>Production Tier 3 — Scale Y2</t>
  </si>
  <si>
    <t>2× app + LB + managed Postgres HA + replica + node ML</t>
  </si>
  <si>
    <t>VPS Staging — upgrade Y2 (opsional)</t>
  </si>
  <si>
    <t>4 vCPU / 8 GB bila antrean build memicu trigger</t>
  </si>
  <si>
    <t>Total server per fase (titik tengah)</t>
  </si>
  <si>
    <t>Komposisi</t>
  </si>
  <si>
    <t>Rp/bln</t>
  </si>
  <si>
    <t>Staging + Production Tier 1</t>
  </si>
  <si>
    <t>Staging + Production Tier 2</t>
  </si>
  <si>
    <t>Staging (upgrade) + Production Tier 3</t>
  </si>
  <si>
    <t>Pemisahan peran (dokumen §5.0b): Builder/CI di staging sejak hari pertama; DB pisah node di Tier 2; HA + replica di Tier 3; backup = R2 off-site (bukan VM).</t>
  </si>
  <si>
    <t>Anggaran 12 Bulan Pertama — Agustus 2026 s.d. Juli 2027 (dokumen §8.3)</t>
  </si>
  <si>
    <t>Pos</t>
  </si>
  <si>
    <t>Perhitungan</t>
  </si>
  <si>
    <t>Jumlah (Rp)</t>
  </si>
  <si>
    <t>Staging dedicated, 12 bulan</t>
  </si>
  <si>
    <t>12 × titik tengah staging</t>
  </si>
  <si>
    <t>Production Launch + software, 5 bulan (Agu–Des 2026)</t>
  </si>
  <si>
    <t>5 × (Prod Tier 1 + subtotal software Launch)</t>
  </si>
  <si>
    <t>Production Growth Y1 + software, 7 bulan (Jan–Jul 2027)</t>
  </si>
  <si>
    <t>7 × (Prod Tier 2 + subtotal software Y1)</t>
  </si>
  <si>
    <t>One-time: hardening, uji restore, k6 gate go-live</t>
  </si>
  <si>
    <t>jam kerja internal, tanpa lisensi</t>
  </si>
  <si>
    <t>Subtotal</t>
  </si>
  <si>
    <t>jumlah pos di atas</t>
  </si>
  <si>
    <t>Buffer (BUF)</t>
  </si>
  <si>
    <t>subtotal × buffer (Asumsi BUF)</t>
  </si>
  <si>
    <t>TOTAL PROYEKSI 12 BULAN</t>
  </si>
  <si>
    <t>subtotal + buffer</t>
  </si>
  <si>
    <t>PLAFON DIAJUKAN</t>
  </si>
  <si>
    <t>menampung base maupun skenario upgrade dini (baris 22–25)</t>
  </si>
  <si>
    <t>85000000</t>
  </si>
  <si>
    <t>Ruang tersisa terhadap plafon</t>
  </si>
  <si>
    <t>plafon − total proyeksi</t>
  </si>
  <si>
    <t>Uji kewajaran terhadap alokasi PRD §14.4</t>
  </si>
  <si>
    <t>Alokasi infrastruktur PRD 2026</t>
  </si>
  <si>
    <t>$3.600 × KURS</t>
  </si>
  <si>
    <t>Alokasi infrastruktur PRD 2027</t>
  </si>
  <si>
    <t>$12.000 × KURS</t>
  </si>
  <si>
    <t>Rasio total proyeksi vs alokasi 2026</t>
  </si>
  <si>
    <t>total ÷ alokasi 2026</t>
  </si>
  <si>
    <t>Rasio total proyeksi vs alokasi 2027</t>
  </si>
  <si>
    <t>total ÷ alokasi 2027</t>
  </si>
  <si>
    <t>Mekanisme pengendalian: bila realisasi mendekati plafon, pengeluaran berikutnya kembali dimintakan persetujuan — anggaran tidak dapat terlampaui tanpa sepengetahuan stakeholder.</t>
  </si>
  <si>
    <t>Skenario upgrade dini — trigger Tier 2 terpicu Nov 2026 (lonjakan pasca-public-launch)</t>
  </si>
  <si>
    <t>Subtotal skenario dini</t>
  </si>
  <si>
    <t>12 × staging + 3 × (Tier 1 + software Launch) + 9 × (Tier 2 + software Y1)</t>
  </si>
  <si>
    <t>subtotal skenario × buffer</t>
  </si>
  <si>
    <t>TOTAL skenario upgrade dini</t>
  </si>
  <si>
    <t>Ruang tersisa plafon terhadap skenario dini</t>
  </si>
  <si>
    <t>plafon − total skenario dini</t>
  </si>
  <si>
    <t>Pembanding Harga Pasar — harga publik per Juli 2026 (dokumen §5.5) — ⚠️ WAJIB verifikasi ulang saat pengadaan</t>
  </si>
  <si>
    <t>Provider</t>
  </si>
  <si>
    <t>Staging 2 vCPU/4 GB</t>
  </si>
  <si>
    <t>Production 4 vCPU/8 GB</t>
  </si>
  <si>
    <t>IDCloudHost (Indonesia)</t>
  </si>
  <si>
    <t>≈ Rp 175–300 rb</t>
  </si>
  <si>
    <t>≈ Rp 400–600 rb</t>
  </si>
  <si>
    <t>Pay-as-you-go; ekstrapolasi dari harga publik 2 vCPU/2 GB Rp 87–149 rb; DC Indonesia ✓</t>
  </si>
  <si>
    <t>Biznet Gio NEO Lite (Indonesia)</t>
  </si>
  <si>
    <t>≈ Rp 200–300 rb</t>
  </si>
  <si>
    <t>NVMe, free bandwidth; DC Indonesia ✓</t>
  </si>
  <si>
    <t>DigitalOcean (Singapura)</t>
  </si>
  <si>
    <t>$24–32 (Rp 390–520 rb)</t>
  </si>
  <si>
    <t>$48–63 (Rp 780 rb–1 jt)</t>
  </si>
  <si>
    <t>Tooling bagus; data PII keluar RI → hanya cadangan</t>
  </si>
  <si>
    <t>Vultr (Singapura)</t>
  </si>
  <si>
    <t>$20–24 (Rp 330–390 rb)</t>
  </si>
  <si>
    <t>$40–48 (Rp 650–780 rb)</t>
  </si>
  <si>
    <t>idem</t>
  </si>
  <si>
    <t>Kesimpulan: rentang proposal (staging Rp 150–350 rb; production Rp 400–800 rb) = harga pasar apa adanya, tanpa margin. Preferensi provider Indonesia (UU PDP data residency untuk NIK/KTP + latency domestik).</t>
  </si>
  <si>
    <t>Sumber harga software (dokumen Appendix B)</t>
  </si>
  <si>
    <t>Cloudflare R2 $0,015/GB/bln egress $0; Cloudflare Pro $20/bln</t>
  </si>
  <si>
    <t>Mapbox: free 50 rb web loads + 50 rb static + 25 rb mobile MAU + 100 rb geocoding/bln; ~$5/1.000 loads setelahnya</t>
  </si>
  <si>
    <t>Resend: Free 3 rb → Pro $20 (50 rb) → Scale $90 (100 rb); AWS SES $0,10/1.000 email</t>
  </si>
  <si>
    <t>Sentry: Developer free → Team ~$26 → Business ~$80/bln</t>
  </si>
  <si>
    <t>OpenAI / Google Gemini: harga per token publik; multi-provider → model termurah yang memadai</t>
  </si>
  <si>
    <t>Transisi On-Premise Tahun ke-3 — kalkulasi lengkap di awal (dokumen §10); sel KUNING = input</t>
  </si>
  <si>
    <t>CapEx Hardware (skala Tier 3)</t>
  </si>
  <si>
    <t>Basis</t>
  </si>
  <si>
    <t>Nilai (Rp)</t>
  </si>
  <si>
    <t>2× server aplikasi + DB (HA)</t>
  </si>
  <si>
    <t>EPYC/Xeon 16–32 core, 128 GB, NVMe RAID</t>
  </si>
  <si>
    <t>rentang 120–180 jt</t>
  </si>
  <si>
    <t>1× server utilitas (ML, monitoring)</t>
  </si>
  <si>
    <t>8–16 core, 64 GB</t>
  </si>
  <si>
    <t>rentang 30–50 jt</t>
  </si>
  <si>
    <t>Jaringan (switch, firewall, IPMI)</t>
  </si>
  <si>
    <t>rentang 15–30 jt</t>
  </si>
  <si>
    <t>Suku cadang (disk, PSU, RAM)</t>
  </si>
  <si>
    <t>wajib utk RTO tanpa vendor</t>
  </si>
  <si>
    <t>rentang 15–25 jt</t>
  </si>
  <si>
    <t>TOTAL CapEx</t>
  </si>
  <si>
    <t>rentang 180–285 jt</t>
  </si>
  <si>
    <t>Umur amortisasi (tahun)</t>
  </si>
  <si>
    <t>input</t>
  </si>
  <si>
    <t>Amortisasi per bulan</t>
  </si>
  <si>
    <t>CapEx / (umur × 12)</t>
  </si>
  <si>
    <t>OpEx Bulanan On-Premise</t>
  </si>
  <si>
    <t>Nilai (Rp/bln)</t>
  </si>
  <si>
    <t>Colocation ~4U DC Indonesia ISO 27001</t>
  </si>
  <si>
    <t>listrik redundan + pendingin + bandwidth</t>
  </si>
  <si>
    <t>rentang 3–6 jt</t>
  </si>
  <si>
    <t>SDM ops / on-call 24/7 (±0,5 FTE)</t>
  </si>
  <si>
    <t>pekerjaan yg di cloud dikerjakan vendor</t>
  </si>
  <si>
    <t>rentang 5–8 jt</t>
  </si>
  <si>
    <t>Backup off-site (tetap R2) + monitoring</t>
  </si>
  <si>
    <t>§4.1 — backup tidak satu lokasi dgn server</t>
  </si>
  <si>
    <t>TOTAL OpEx / bulan</t>
  </si>
  <si>
    <t>rentang 8,5–14,5 jt</t>
  </si>
  <si>
    <t>Perbandingan TCO tahun ke-3 (per bulan)</t>
  </si>
  <si>
    <t>On-premise efektif (OpEx + amortisasi)</t>
  </si>
  <si>
    <t>OpEx + amortisasi CapEx</t>
  </si>
  <si>
    <t>di titik masuk th-3 SETARA dgn cloud; menang saat cloud tumbuh &gt; ambang</t>
  </si>
  <si>
    <t>Cloud Tier 3 (dari sheet Ringkasan)</t>
  </si>
  <si>
    <t>server + software Scale Y2</t>
  </si>
  <si>
    <t>Selisih (cloud − on-premise)</t>
  </si>
  <si>
    <t>positif = on-premise lebih hemat</t>
  </si>
  <si>
    <t>Payback CapEx pada ambang eksekusi (bulan)</t>
  </si>
  <si>
    <t>CapEx ÷ (ambang eksekusi − TCO on-premise)</t>
  </si>
  <si>
    <t>Ambang praktis eksekusi (belanja cloud sustained/bln)</t>
  </si>
  <si>
    <t>belanja cloud sustained per bulan</t>
  </si>
  <si>
    <t>kriteria §10.4 (Rp 20–25 jt) — input; payback ≈2,2 th pada ambang ini</t>
  </si>
  <si>
    <t>Plot Dana 3 Tahun (proposal pendanaan)</t>
  </si>
  <si>
    <t>Skema</t>
  </si>
  <si>
    <t>Anggaran (Rp)</t>
  </si>
  <si>
    <t>Tahun 1 (Agu 2026–Jul 2027)</t>
  </si>
  <si>
    <t>Cloud — plafon proposal ini</t>
  </si>
  <si>
    <t>realisasi ≈ Rp 40 jt</t>
  </si>
  <si>
    <t>Tahun 2 (Agu 2027–Jul 2028)</t>
  </si>
  <si>
    <t>Cloud Growth→Scale: 5 bln Y1 + 7 bln Y2 + buffer</t>
  </si>
  <si>
    <t>mengikuti trigger</t>
  </si>
  <si>
    <t>Tahun 3 (Agu 2028–Jul 2029)</t>
  </si>
  <si>
    <t>Cloud ±8 bln + CapEx on-prem + parallel run 4 bln</t>
  </si>
  <si>
    <t>cutover bertahap</t>
  </si>
  <si>
    <t>TOTAL 3 TAHUN</t>
  </si>
  <si>
    <t>jumlah</t>
  </si>
  <si>
    <t>Tahun 4+ (steady on-premise)</t>
  </si>
  <si>
    <t>OpEx + amortisasi × 12</t>
  </si>
  <si>
    <t>vs tetap cloud &gt; Rp 240–300 jt/th → hemat mulai th-4</t>
  </si>
  <si>
    <t>Alokasi infra PRD §14.4 tiga tahun</t>
  </si>
  <si>
    <t>($3.600+$12.000+$36.000) × KURS</t>
  </si>
  <si>
    <t>Rasio plot vs alokasi PRD</t>
  </si>
  <si>
    <t>total 3 th ÷ alokasi</t>
  </si>
  <si>
    <t>SDM / MANPOWER — model biaya (pasangan: anggaran-sdm-manpower.md, v1.0 · 17 Jul 2026)</t>
  </si>
  <si>
    <t>Sel KUNING = asumsi, boleh diganti — seluruh angka menghitung ulang. Semua nilai dalam Rp juta. Loaded = gaji × faktor beban.</t>
  </si>
  <si>
    <t>ASUMSI</t>
  </si>
  <si>
    <t>Faktor beban pemberi kerja (BPJS 10,24% + THR 8,33% + cadangan)</t>
  </si>
  <si>
    <t>Stipend founder/bln — fase Launch &amp; Growth (Rp jt)</t>
  </si>
  <si>
    <t>Stipend founder/bln — fase Scale 2028 (Rp jt)</t>
  </si>
  <si>
    <t>Jumlah founder</t>
  </si>
  <si>
    <t>Kurs USD (uji kewajaran vs PRD §14.4)</t>
  </si>
  <si>
    <t>ROSTER (jumlah orang per fase; gaji = asumsi pasar 2026 mid-level remote-first)</t>
  </si>
  <si>
    <t>Peran</t>
  </si>
  <si>
    <t>Gaji/bln</t>
  </si>
  <si>
    <t>Jml Launch</t>
  </si>
  <si>
    <t>Jml 2027</t>
  </si>
  <si>
    <t>Jml 2028</t>
  </si>
  <si>
    <t>Loaded satuan</t>
  </si>
  <si>
    <t>Biaya/bln Launch</t>
  </si>
  <si>
    <t>Biaya/bln 2027</t>
  </si>
  <si>
    <t>Biaya/bln 2028</t>
  </si>
  <si>
    <t>L1</t>
  </si>
  <si>
    <t>Fullstack Engineer (mid)</t>
  </si>
  <si>
    <t>L2</t>
  </si>
  <si>
    <t>Ops &amp; Support Admin</t>
  </si>
  <si>
    <t>L3</t>
  </si>
  <si>
    <t>Koordinator Operasi Lapangan</t>
  </si>
  <si>
    <t>L4</t>
  </si>
  <si>
    <t>BD / Merchant Onboarding</t>
  </si>
  <si>
    <t>G1</t>
  </si>
  <si>
    <t>DevOps/SRE Engineer (persiapan on-premise §7)</t>
  </si>
  <si>
    <t>G2</t>
  </si>
  <si>
    <t>Mobile Engineer (Flutter)</t>
  </si>
  <si>
    <t>G3</t>
  </si>
  <si>
    <t>Customer Support</t>
  </si>
  <si>
    <t>G5</t>
  </si>
  <si>
    <t>Finance &amp; Admin</t>
  </si>
  <si>
    <t>G7</t>
  </si>
  <si>
    <t>Content &amp; Community</t>
  </si>
  <si>
    <t>S1</t>
  </si>
  <si>
    <t>Infra/Platform Engineer #2 (rotasi on-call on-premise)</t>
  </si>
  <si>
    <t>S2</t>
  </si>
  <si>
    <t>Backend Engineer</t>
  </si>
  <si>
    <t>S3</t>
  </si>
  <si>
    <t>QA Engineer</t>
  </si>
  <si>
    <t>S4</t>
  </si>
  <si>
    <t>Corporate Account Manager (ESG B2B)</t>
  </si>
  <si>
    <t>S7</t>
  </si>
  <si>
    <t>Data/ML Engineer (opsional — trigger registri karbon)</t>
  </si>
  <si>
    <t>FND</t>
  </si>
  <si>
    <t>Stipend 3 founder (Launch/Growth vs Scale)</t>
  </si>
  <si>
    <t>TOTAL</t>
  </si>
  <si>
    <t>Headcount total (termasuk founder)</t>
  </si>
  <si>
    <t>Biaya SDM/bln (Rp jt, loaded)</t>
  </si>
  <si>
    <t>REKAP TAHUNAN &amp; UJI KEWAJARAN (Rp jt)</t>
  </si>
  <si>
    <t>2026 (Agu–Des, 5 bln roster Launch)</t>
  </si>
  <si>
    <t>Alokasi Team PRD 2026 ($36.000)</t>
  </si>
  <si>
    <t>% terpakai</t>
  </si>
  <si>
    <t>2027 (bertahap: 3 bln awal + 3 bln tengah + 6 bln penuh — lihat §4 dokumen)</t>
  </si>
  <si>
    <t>Alokasi Team PRD 2027 ($120.000)</t>
  </si>
  <si>
    <t>2028 (12 bln roster Scale — S7 opsional termasuk)</t>
  </si>
  <si>
    <t>Alokasi Team PRD 2028 ($360.000)</t>
  </si>
  <si>
    <t>Total 3 tahun (kalender)</t>
  </si>
  <si>
    <t>Total alokasi 3 th</t>
  </si>
  <si>
    <t>PLAFON 12 BULAN PERTAMA (Agu 2026 – Jul 2027)</t>
  </si>
  <si>
    <t>Realisasi proyeksi (5 bln Launch + 7 bln 2027 bertahap)</t>
  </si>
  <si>
    <t>Plafon diajukan (buffer ≈10%)</t>
  </si>
  <si>
    <t>→ realisasi/plafon</t>
  </si>
  <si>
    <t>CATATAN ON-PREMISE (selaras §10.2 dok. infrastruktur &amp; §7 dok. SDM)</t>
  </si>
  <si>
    <t>Pos "SDM on-call ±0,5 FTE Rp 5–8 jt/bln" pada OpEx on-premise = porsi 0,5 FTE dari G1+S1 di sheet ini — hitung SEKALI saat konsolidasi (tidak ada pos ganda).</t>
  </si>
  <si>
    <t>Cek: 0,5 × loaded G1</t>
  </si>
  <si>
    <t>berada dalam rentang 5–8 jt? (§10.2)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</si>
</sst>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Rp &quot;#,##0"/>
    <numFmt numFmtId="165" formatCode="#,##0.0"/>
    <numFmt numFmtId="166" formatCode="&quot;$&quot;#,##0.00"/>
  </numFmts>
  <fonts count="11" x14ac:knownFonts="1">
    <font>
      <color theme="1"/>
      <family val="2"/>
      <scheme val="minor"/>
      <sz val="11"/>
      <name val="Calibri"/>
    </font>
    <font>
      <b/>
      <color rgb="FF2C673C"/>
      <sz val="14"/>
    </font>
    <font>
      <i/>
      <color rgb="FF666666"/>
    </font>
    <font>
      <b/>
    </font>
    <font>
      <b/>
      <color rgb="FFFFFFFF"/>
    </font>
    <font>
      <b/>
      <color rgb="FF2C673C"/>
      <sz val="13"/>
    </font>
    <font>
      <b/>
      <color theme="1"/>
      <family val="2"/>
      <scheme val="minor"/>
      <sz val="11"/>
      <name val="Calibri"/>
    </font>
    <font>
      <i/>
    </font>
    <font>
      <b/>
      <sz val="12"/>
    </font>
    <font>
      <b/>
      <color rgb="FFFFFFFF"/>
      <sz val="12"/>
    </font>
    <font>
      <b/>
      <sz val="13"/>
    </font>
  </fonts>
  <fills count="9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2C673C"/>
      </patternFill>
    </fill>
    <fill>
      <patternFill patternType="solid">
        <fgColor rgb="FFFFF2CC"/>
      </patternFill>
    </fill>
    <fill>
      <patternFill patternType="solid">
        <fgColor rgb="FFFFF2AC"/>
      </patternFill>
    </fill>
    <fill>
      <patternFill patternType="solid">
        <fgColor rgb="FFD9D9D9"/>
      </patternFill>
    </fill>
    <fill>
      <patternFill patternType="solid">
        <fgColor rgb="FFE8F0E8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0" borderId="0" xfId="0" applyNumberFormat="1"/>
    <xf numFmtId="164" fontId="3" fillId="0" borderId="0" xfId="0" applyNumberFormat="1" applyFont="1"/>
    <xf numFmtId="0" fontId="3" fillId="3" borderId="0" xfId="0" applyFont="1" applyFill="1"/>
    <xf numFmtId="0" fontId="4" fillId="4" borderId="0" xfId="0" applyFont="1" applyFill="1"/>
    <xf numFmtId="164" fontId="4" fillId="4" borderId="0" xfId="0" applyNumberFormat="1" applyFont="1" applyFill="1"/>
    <xf numFmtId="9" fontId="3" fillId="0" borderId="0" xfId="0" applyNumberFormat="1" applyFont="1"/>
    <xf numFmtId="0" fontId="5" fillId="0" borderId="0" xfId="0" applyFont="1"/>
    <xf numFmtId="3" fontId="0" fillId="5" borderId="2" xfId="0" applyNumberFormat="1" applyFill="1" applyBorder="1"/>
    <xf numFmtId="9" fontId="0" fillId="5" borderId="2" xfId="0" applyNumberFormat="1" applyFill="1" applyBorder="1"/>
    <xf numFmtId="0" fontId="6" fillId="6" borderId="2" xfId="0" applyFont="1" applyFill="1" applyBorder="1"/>
    <xf numFmtId="3" fontId="0" fillId="7" borderId="0" xfId="0" applyNumberFormat="1" applyFill="1"/>
    <xf numFmtId="0" fontId="3" fillId="8" borderId="0" xfId="0" applyFont="1" applyFill="1"/>
    <xf numFmtId="0" fontId="3" fillId="6" borderId="0" xfId="0" applyFont="1" applyFill="1"/>
    <xf numFmtId="3" fontId="0" fillId="0" borderId="0" xfId="0" applyNumberFormat="1"/>
    <xf numFmtId="0" fontId="3" fillId="0" borderId="0" xfId="0" applyFont="1"/>
    <xf numFmtId="3" fontId="3" fillId="0" borderId="0" xfId="0" applyNumberFormat="1" applyFont="1"/>
    <xf numFmtId="0" fontId="7" fillId="0" borderId="0" xfId="0" applyFont="1"/>
    <xf numFmtId="165" fontId="0" fillId="0" borderId="0" xfId="0" applyNumberFormat="1"/>
    <xf numFmtId="165" fontId="3" fillId="0" borderId="0" xfId="0" applyNumberFormat="1" applyFont="1"/>
    <xf numFmtId="166" fontId="0" fillId="0" borderId="0" xfId="0" applyNumberFormat="1"/>
    <xf numFmtId="164" fontId="3" fillId="2" borderId="0" xfId="0" applyNumberFormat="1" applyFont="1" applyFill="1"/>
    <xf numFmtId="164" fontId="7" fillId="0" borderId="0" xfId="0" applyNumberFormat="1" applyFont="1"/>
    <xf numFmtId="0" fontId="3" fillId="2" borderId="3" xfId="0" applyFont="1" applyFill="1" applyBorder="1"/>
    <xf numFmtId="164" fontId="3" fillId="2" borderId="3" xfId="0" applyNumberFormat="1" applyFont="1" applyFill="1" applyBorder="1"/>
    <xf numFmtId="164" fontId="0" fillId="5" borderId="0" xfId="0" applyNumberFormat="1" applyFill="1"/>
    <xf numFmtId="0" fontId="3" fillId="2" borderId="0" xfId="0" applyFont="1" applyFill="1"/>
    <xf numFmtId="0" fontId="3" fillId="0" borderId="4" xfId="0" applyFont="1" applyBorder="1"/>
    <xf numFmtId="164" fontId="3" fillId="0" borderId="4" xfId="0" applyNumberFormat="1" applyFont="1" applyBorder="1"/>
    <xf numFmtId="0" fontId="8" fillId="2" borderId="0" xfId="0" applyFont="1" applyFill="1"/>
    <xf numFmtId="164" fontId="8" fillId="2" borderId="0" xfId="0" applyNumberFormat="1" applyFont="1" applyFill="1"/>
    <xf numFmtId="0" fontId="9" fillId="4" borderId="0" xfId="0" applyFont="1" applyFill="1"/>
    <xf numFmtId="164" fontId="9" fillId="4" borderId="0" xfId="0" applyNumberFormat="1" applyFont="1" applyFill="1"/>
    <xf numFmtId="0" fontId="0" fillId="5" borderId="0" xfId="0" applyFill="1"/>
    <xf numFmtId="0" fontId="10" fillId="0" borderId="0" xfId="0" applyFont="1"/>
    <xf numFmtId="0" fontId="3" fillId="0" borderId="1" xfId="0" applyFont="1" applyBorder="1"/>
    <xf numFmtId="0" fontId="0" fillId="6" borderId="0" xfId="0" applyFill="1"/>
    <xf numFmtId="9" fontId="0" fillId="0" borderId="0" xfId="0" applyNumberFormat="1"/>
    <xf numFmtId="3" fontId="3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50" customWidth="1"/>
    <col min="2" max="2" width="16" customWidth="1"/>
    <col min="3" max="5" width="18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t="s">
        <v>7</v>
      </c>
      <c r="B5" t="s">
        <v>8</v>
      </c>
      <c r="C5" s="4">
        <f>Server!E12</f>
      </c>
      <c r="D5" s="4">
        <f>Software!C15</f>
      </c>
      <c r="E5" s="5">
        <f>C5+D5</f>
      </c>
    </row>
    <row r="6" spans="1:5" x14ac:dyDescent="0.25">
      <c r="A6" t="s">
        <v>9</v>
      </c>
      <c r="B6" t="s">
        <v>10</v>
      </c>
      <c r="C6" s="4">
        <f>Server!E13</f>
      </c>
      <c r="D6" s="4">
        <f>Software!D15</f>
      </c>
      <c r="E6" s="5">
        <f>C6+D6</f>
      </c>
    </row>
    <row r="7" spans="1:5" x14ac:dyDescent="0.25">
      <c r="A7" t="s">
        <v>11</v>
      </c>
      <c r="B7" t="s">
        <v>12</v>
      </c>
      <c r="C7" s="4">
        <f>Server!E14</f>
      </c>
      <c r="D7" s="4">
        <f>Software!E15</f>
      </c>
      <c r="E7" s="5">
        <f>C7+D7</f>
      </c>
    </row>
    <row r="9" spans="1:5" x14ac:dyDescent="0.25">
      <c r="A9" s="6" t="s">
        <v>13</v>
      </c>
      <c r="B9" s="6"/>
      <c r="C9" s="6"/>
      <c r="D9" s="6"/>
      <c r="E9" s="6"/>
    </row>
    <row r="10" spans="1:3" x14ac:dyDescent="0.25">
      <c r="A10" t="s">
        <v>14</v>
      </c>
      <c r="C10" s="5">
        <f>Anggaran12Bln!C10</f>
      </c>
    </row>
    <row r="11" spans="1:3" x14ac:dyDescent="0.25">
      <c r="A11" s="7" t="s">
        <v>15</v>
      </c>
      <c r="B11" s="7"/>
      <c r="C11" s="8">
        <f>Anggaran12Bln!C11</f>
      </c>
    </row>
    <row r="12" spans="1:3" x14ac:dyDescent="0.25">
      <c r="A12" t="s">
        <v>16</v>
      </c>
      <c r="C12" s="9">
        <f>Anggaran12Bln!C18</f>
      </c>
    </row>
    <row r="14" spans="1:1" x14ac:dyDescent="0.25">
      <c r="A14" s="2" t="s">
        <v>17</v>
      </c>
    </row>
    <row r="15" spans="1:1" x14ac:dyDescent="0.25">
      <c r="A15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FormatPr defaultRowHeight="15" outlineLevelRow="0" outlineLevelCol="0" x14ac:dyDescent="55"/>
  <cols>
    <col min="1" max="1" width="10" customWidth="1"/>
    <col min="2" max="2" width="48" customWidth="1"/>
    <col min="3" max="4" width="16" customWidth="1"/>
    <col min="5" max="5" width="60" customWidth="1"/>
  </cols>
  <sheetData>
    <row r="1" spans="1:5" x14ac:dyDescent="0.25">
      <c r="A1" s="10" t="s">
        <v>19</v>
      </c>
      <c r="B1" s="10"/>
      <c r="C1" s="10"/>
      <c r="D1" s="10"/>
      <c r="E1" s="10"/>
    </row>
    <row r="3" spans="1:5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</row>
    <row r="4" spans="1:5" x14ac:dyDescent="0.25">
      <c r="A4" t="s">
        <v>25</v>
      </c>
      <c r="B4" t="s">
        <v>26</v>
      </c>
      <c r="C4" s="11">
        <v>16000</v>
      </c>
      <c r="D4" t="s">
        <v>27</v>
      </c>
      <c r="E4" t="s">
        <v>28</v>
      </c>
    </row>
    <row r="5" spans="1:5" x14ac:dyDescent="0.25">
      <c r="A5" t="s">
        <v>29</v>
      </c>
      <c r="B5" t="s">
        <v>30</v>
      </c>
      <c r="C5" s="12">
        <v>0.1</v>
      </c>
      <c r="D5" t="s">
        <v>31</v>
      </c>
      <c r="E5" t="s">
        <v>32</v>
      </c>
    </row>
    <row r="6" spans="1:5" x14ac:dyDescent="0.25">
      <c r="A6" t="s">
        <v>33</v>
      </c>
      <c r="B6" t="s">
        <v>34</v>
      </c>
      <c r="C6" s="12">
        <v>0.1</v>
      </c>
      <c r="D6" t="s">
        <v>31</v>
      </c>
      <c r="E6" t="s">
        <v>35</v>
      </c>
    </row>
    <row r="7" spans="1:5" x14ac:dyDescent="0.25">
      <c r="A7" t="s">
        <v>36</v>
      </c>
      <c r="B7" t="s">
        <v>37</v>
      </c>
      <c r="C7" s="13">
        <v>0.1</v>
      </c>
      <c r="D7" t="s">
        <v>38</v>
      </c>
      <c r="E7" t="s">
        <v>39</v>
      </c>
    </row>
    <row r="8" spans="1:5" x14ac:dyDescent="0.25">
      <c r="A8" t="s">
        <v>40</v>
      </c>
      <c r="B8" t="s">
        <v>41</v>
      </c>
      <c r="C8" s="13">
        <v>10</v>
      </c>
      <c r="D8" t="s">
        <v>42</v>
      </c>
      <c r="E8" t="s">
        <v>43</v>
      </c>
    </row>
    <row r="9" spans="1:5" x14ac:dyDescent="0.25">
      <c r="A9" t="s">
        <v>44</v>
      </c>
      <c r="B9" t="s">
        <v>45</v>
      </c>
      <c r="C9" s="12">
        <v>0.7</v>
      </c>
      <c r="D9" t="s">
        <v>31</v>
      </c>
      <c r="E9" t="s">
        <v>46</v>
      </c>
    </row>
    <row r="10" spans="1:5" x14ac:dyDescent="0.25">
      <c r="A10" t="s">
        <v>47</v>
      </c>
      <c r="B10" t="s">
        <v>48</v>
      </c>
      <c r="C10" s="13">
        <v>4.5</v>
      </c>
      <c r="D10" t="s">
        <v>49</v>
      </c>
      <c r="E10" t="s">
        <v>50</v>
      </c>
    </row>
    <row r="11" spans="1:4" x14ac:dyDescent="0.25">
      <c r="A11" t="s">
        <v>51</v>
      </c>
      <c r="B11" t="s">
        <v>52</v>
      </c>
      <c r="C11" s="13">
        <v>2</v>
      </c>
      <c r="D11" t="s">
        <v>42</v>
      </c>
    </row>
    <row r="12" spans="1:5" x14ac:dyDescent="0.25">
      <c r="A12" t="s">
        <v>53</v>
      </c>
      <c r="B12" t="s">
        <v>54</v>
      </c>
      <c r="C12" s="13">
        <v>75</v>
      </c>
      <c r="D12" t="s">
        <v>49</v>
      </c>
      <c r="E12" t="s">
        <v>55</v>
      </c>
    </row>
    <row r="13" spans="1:4" x14ac:dyDescent="0.25">
      <c r="A13" t="s">
        <v>56</v>
      </c>
      <c r="B13" t="s">
        <v>57</v>
      </c>
      <c r="C13" s="13">
        <v>1.5</v>
      </c>
      <c r="D13" t="s">
        <v>58</v>
      </c>
    </row>
    <row r="14" spans="1:4" x14ac:dyDescent="0.25">
      <c r="A14" t="s">
        <v>59</v>
      </c>
      <c r="B14" t="s">
        <v>60</v>
      </c>
      <c r="C14" s="13">
        <v>15</v>
      </c>
      <c r="D14" t="s">
        <v>49</v>
      </c>
    </row>
    <row r="15" spans="1:4" x14ac:dyDescent="0.25">
      <c r="A15" t="s">
        <v>61</v>
      </c>
      <c r="B15" t="s">
        <v>62</v>
      </c>
      <c r="C15" s="12">
        <v>0.1</v>
      </c>
      <c r="D15" t="s">
        <v>31</v>
      </c>
    </row>
    <row r="16" spans="1:4" x14ac:dyDescent="0.25">
      <c r="A16" t="s">
        <v>63</v>
      </c>
      <c r="B16" t="s">
        <v>64</v>
      </c>
      <c r="C16" s="13">
        <v>0.15</v>
      </c>
      <c r="D16" t="s">
        <v>65</v>
      </c>
    </row>
    <row r="17" spans="1:4" x14ac:dyDescent="0.25">
      <c r="A17" t="s">
        <v>66</v>
      </c>
      <c r="B17" t="s">
        <v>67</v>
      </c>
      <c r="C17" s="13">
        <v>0.5</v>
      </c>
      <c r="D17" t="s">
        <v>49</v>
      </c>
    </row>
    <row r="18" spans="1:5" x14ac:dyDescent="0.25">
      <c r="A18" t="s">
        <v>68</v>
      </c>
      <c r="B18" t="s">
        <v>69</v>
      </c>
      <c r="C18" s="13">
        <v>0.015</v>
      </c>
      <c r="D18" t="s">
        <v>70</v>
      </c>
      <c r="E18" t="s">
        <v>71</v>
      </c>
    </row>
    <row r="19" spans="1:5" x14ac:dyDescent="0.25">
      <c r="A19" t="s">
        <v>72</v>
      </c>
      <c r="B19" t="s">
        <v>73</v>
      </c>
      <c r="C19" s="12">
        <v>0.1</v>
      </c>
      <c r="D19" t="s">
        <v>31</v>
      </c>
      <c r="E19" t="s">
        <v>74</v>
      </c>
    </row>
    <row r="20" spans="1:4" x14ac:dyDescent="0.25">
      <c r="A20" t="s">
        <v>75</v>
      </c>
      <c r="B20" t="s">
        <v>76</v>
      </c>
      <c r="C20" s="13">
        <v>2.5</v>
      </c>
      <c r="D20" t="s">
        <v>77</v>
      </c>
    </row>
    <row r="21" spans="1:4" x14ac:dyDescent="0.25">
      <c r="A21" t="s">
        <v>78</v>
      </c>
      <c r="B21" t="s">
        <v>79</v>
      </c>
      <c r="C21" s="13">
        <v>30</v>
      </c>
      <c r="D21" t="s">
        <v>80</v>
      </c>
    </row>
    <row r="22" spans="1:5" x14ac:dyDescent="0.25">
      <c r="A22" t="s">
        <v>81</v>
      </c>
      <c r="B22" t="s">
        <v>82</v>
      </c>
      <c r="C22" s="12">
        <v>0.5</v>
      </c>
      <c r="D22" t="s">
        <v>31</v>
      </c>
      <c r="E22" t="s">
        <v>83</v>
      </c>
    </row>
    <row r="23" spans="1:4" x14ac:dyDescent="0.25">
      <c r="A23" t="s">
        <v>84</v>
      </c>
      <c r="B23" t="s">
        <v>85</v>
      </c>
      <c r="C23" s="13">
        <v>5</v>
      </c>
      <c r="D23" t="s">
        <v>70</v>
      </c>
    </row>
    <row r="24" spans="1:5" x14ac:dyDescent="0.25">
      <c r="A24" t="s">
        <v>86</v>
      </c>
      <c r="B24" t="s">
        <v>87</v>
      </c>
      <c r="C24" s="11">
        <v>50000</v>
      </c>
      <c r="D24" t="s">
        <v>88</v>
      </c>
      <c r="E24" t="s">
        <v>89</v>
      </c>
    </row>
    <row r="25" spans="1:5" x14ac:dyDescent="0.25">
      <c r="A25" t="s">
        <v>90</v>
      </c>
      <c r="B25" t="s">
        <v>91</v>
      </c>
      <c r="C25" s="13">
        <v>0.4</v>
      </c>
      <c r="D25" t="s">
        <v>42</v>
      </c>
      <c r="E25" t="s">
        <v>92</v>
      </c>
    </row>
    <row r="26" spans="1:5" x14ac:dyDescent="0.25">
      <c r="A26" t="s">
        <v>93</v>
      </c>
      <c r="B26" t="s">
        <v>94</v>
      </c>
      <c r="C26" s="13">
        <v>4</v>
      </c>
      <c r="D26" t="s">
        <v>95</v>
      </c>
      <c r="E26" t="s">
        <v>96</v>
      </c>
    </row>
    <row r="27" spans="1:5" x14ac:dyDescent="0.25">
      <c r="A27" t="s">
        <v>97</v>
      </c>
      <c r="B27" t="s">
        <v>98</v>
      </c>
      <c r="C27" s="13">
        <v>3</v>
      </c>
      <c r="D27" t="s">
        <v>42</v>
      </c>
      <c r="E27" t="s">
        <v>99</v>
      </c>
    </row>
    <row r="28" spans="1:5" x14ac:dyDescent="0.25">
      <c r="A28" t="s">
        <v>100</v>
      </c>
      <c r="B28" t="s">
        <v>101</v>
      </c>
      <c r="C28" s="13">
        <v>3</v>
      </c>
      <c r="D28" t="s">
        <v>102</v>
      </c>
      <c r="E28" t="s">
        <v>103</v>
      </c>
    </row>
    <row r="29" spans="1:5" x14ac:dyDescent="0.25">
      <c r="A29" t="s">
        <v>104</v>
      </c>
      <c r="B29" t="s">
        <v>105</v>
      </c>
      <c r="C29" s="13" t="s">
        <v>106</v>
      </c>
      <c r="D29" t="s">
        <v>107</v>
      </c>
      <c r="E29" t="s">
        <v>108</v>
      </c>
    </row>
    <row r="30" spans="1:5" x14ac:dyDescent="0.25">
      <c r="A30" t="s">
        <v>109</v>
      </c>
      <c r="B30" t="s">
        <v>110</v>
      </c>
      <c r="C30" s="12">
        <v>0.5</v>
      </c>
      <c r="D30" t="s">
        <v>31</v>
      </c>
      <c r="E30" t="s">
        <v>111</v>
      </c>
    </row>
    <row r="31" spans="1:5" x14ac:dyDescent="0.25">
      <c r="A31" t="s">
        <v>112</v>
      </c>
      <c r="B31" t="s">
        <v>113</v>
      </c>
      <c r="C31" s="13">
        <v>2</v>
      </c>
      <c r="D31" t="s">
        <v>42</v>
      </c>
      <c r="E31" t="s">
        <v>114</v>
      </c>
    </row>
    <row r="33" spans="1:5" x14ac:dyDescent="0.25">
      <c r="A33" s="3" t="s">
        <v>115</v>
      </c>
      <c r="B33" s="3"/>
      <c r="C33" s="3" t="s">
        <v>116</v>
      </c>
      <c r="D33" s="3" t="s">
        <v>117</v>
      </c>
      <c r="E33" s="3" t="s">
        <v>118</v>
      </c>
    </row>
    <row r="34" spans="1:5" x14ac:dyDescent="0.25">
      <c r="A34" t="s">
        <v>119</v>
      </c>
      <c r="B34" t="s">
        <v>120</v>
      </c>
      <c r="C34" s="11">
        <v>2000</v>
      </c>
      <c r="D34" s="11">
        <v>25000</v>
      </c>
      <c r="E34" s="11">
        <v>120000</v>
      </c>
    </row>
    <row r="35" spans="1:5" x14ac:dyDescent="0.25">
      <c r="A35" t="s">
        <v>121</v>
      </c>
      <c r="B35" t="s">
        <v>122</v>
      </c>
      <c r="C35" s="11">
        <v>500</v>
      </c>
      <c r="D35" s="11">
        <v>8000</v>
      </c>
      <c r="E35" s="11">
        <v>30000</v>
      </c>
    </row>
    <row r="36" spans="1:5" x14ac:dyDescent="0.25">
      <c r="A36" t="s">
        <v>123</v>
      </c>
      <c r="B36" t="s">
        <v>124</v>
      </c>
      <c r="C36" s="11">
        <v>30</v>
      </c>
      <c r="D36" s="11">
        <v>150</v>
      </c>
      <c r="E36" s="11">
        <v>400</v>
      </c>
    </row>
    <row r="37" spans="1:5" x14ac:dyDescent="0.25">
      <c r="A37" t="s">
        <v>125</v>
      </c>
      <c r="B37" t="s">
        <v>126</v>
      </c>
      <c r="C37" s="14">
        <f>C36*$C$20</f>
      </c>
      <c r="D37" s="14">
        <f>D36*$C$20</f>
      </c>
      <c r="E37" s="14">
        <f>E36*$C$20</f>
      </c>
    </row>
    <row r="38" spans="1:5" x14ac:dyDescent="0.25">
      <c r="A38" t="s">
        <v>127</v>
      </c>
      <c r="B38" t="s">
        <v>128</v>
      </c>
      <c r="C38" s="11">
        <v>45</v>
      </c>
      <c r="D38" s="11">
        <v>90</v>
      </c>
      <c r="E38" s="11">
        <v>130</v>
      </c>
    </row>
    <row r="39" spans="1:5" x14ac:dyDescent="0.25">
      <c r="A39" t="s">
        <v>129</v>
      </c>
      <c r="B39" t="s">
        <v>130</v>
      </c>
      <c r="C39" s="11">
        <v>1</v>
      </c>
      <c r="D39" s="11">
        <v>15</v>
      </c>
      <c r="E39" s="11">
        <v>80</v>
      </c>
    </row>
    <row r="41" spans="1:5" x14ac:dyDescent="0.25">
      <c r="A41" s="15" t="s">
        <v>131</v>
      </c>
      <c r="C41" t="s">
        <v>132</v>
      </c>
      <c r="D41" t="s">
        <v>133</v>
      </c>
      <c r="E41" t="s">
        <v>134</v>
      </c>
    </row>
    <row r="42" spans="1:5" x14ac:dyDescent="0.25">
      <c r="A42" t="s">
        <v>135</v>
      </c>
      <c r="B42" t="s">
        <v>136</v>
      </c>
      <c r="C42" s="16">
        <v>1000</v>
      </c>
      <c r="D42" s="16">
        <v>1000</v>
      </c>
      <c r="E42" s="16">
        <v>1000</v>
      </c>
    </row>
    <row r="43" spans="1:5" x14ac:dyDescent="0.25">
      <c r="A43" t="s">
        <v>137</v>
      </c>
      <c r="B43" t="s">
        <v>138</v>
      </c>
      <c r="C43" s="16">
        <v>1</v>
      </c>
      <c r="D43" s="16">
        <v>1</v>
      </c>
      <c r="E43" s="16">
        <v>2</v>
      </c>
    </row>
    <row r="44" spans="1:5" x14ac:dyDescent="0.25">
      <c r="A44" t="s">
        <v>139</v>
      </c>
      <c r="B44" t="s">
        <v>140</v>
      </c>
      <c r="C44" s="16">
        <v>25</v>
      </c>
      <c r="D44" s="16">
        <v>25</v>
      </c>
      <c r="E44" s="16">
        <v>50</v>
      </c>
    </row>
    <row r="45" spans="1:5" x14ac:dyDescent="0.25">
      <c r="A45" t="s">
        <v>141</v>
      </c>
      <c r="B45" t="s">
        <v>142</v>
      </c>
      <c r="C45" s="16">
        <v>100</v>
      </c>
      <c r="D45" s="16">
        <v>100</v>
      </c>
      <c r="E45" s="16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28" customWidth="1"/>
    <col min="2" max="2" width="40" customWidth="1"/>
    <col min="3" max="3" width="16" customWidth="1"/>
    <col min="4" max="5" width="18" customWidth="1"/>
  </cols>
  <sheetData>
    <row r="1" spans="1:5" x14ac:dyDescent="0.25">
      <c r="A1" s="10" t="s">
        <v>143</v>
      </c>
      <c r="B1" s="10"/>
      <c r="C1" s="10"/>
      <c r="D1" s="10"/>
      <c r="E1" s="10"/>
    </row>
    <row r="3" spans="1:5" x14ac:dyDescent="0.25">
      <c r="A3" s="3" t="s">
        <v>144</v>
      </c>
      <c r="B3" s="3" t="s">
        <v>145</v>
      </c>
      <c r="C3" s="3" t="s">
        <v>116</v>
      </c>
      <c r="D3" s="3" t="s">
        <v>117</v>
      </c>
      <c r="E3" s="3" t="s">
        <v>118</v>
      </c>
    </row>
    <row r="4" spans="1:5" x14ac:dyDescent="0.25">
      <c r="A4" t="s">
        <v>120</v>
      </c>
      <c r="B4" t="s">
        <v>146</v>
      </c>
      <c r="C4" s="17">
        <f>Asumsi!C34</f>
      </c>
      <c r="D4" s="17">
        <f>Asumsi!D34</f>
      </c>
      <c r="E4" s="17">
        <f>Asumsi!E34</f>
      </c>
    </row>
    <row r="5" spans="1:5" x14ac:dyDescent="0.25">
      <c r="A5" t="s">
        <v>147</v>
      </c>
      <c r="B5" t="s">
        <v>148</v>
      </c>
      <c r="C5" s="17">
        <f>C4*Asumsi!$C$5</f>
      </c>
      <c r="D5" s="17">
        <f>D4*Asumsi!$C$5</f>
      </c>
      <c r="E5" s="17">
        <f>E4*Asumsi!$C$5</f>
      </c>
    </row>
    <row r="6" spans="1:5" x14ac:dyDescent="0.25">
      <c r="A6" t="s">
        <v>149</v>
      </c>
      <c r="B6" t="s">
        <v>150</v>
      </c>
      <c r="C6" s="17">
        <f>C5*Asumsi!$C$6</f>
      </c>
      <c r="D6" s="17">
        <f>D5*Asumsi!$C$6</f>
      </c>
      <c r="E6" s="17">
        <f>E5*Asumsi!$C$6</f>
      </c>
    </row>
    <row r="7" spans="1:5" x14ac:dyDescent="0.25">
      <c r="A7" t="s">
        <v>151</v>
      </c>
      <c r="B7" t="s">
        <v>152</v>
      </c>
      <c r="C7" s="17">
        <f>C6*Asumsi!$C$7</f>
      </c>
      <c r="D7" s="17">
        <f>D6*Asumsi!$C$7</f>
      </c>
      <c r="E7" s="17">
        <f>E6*Asumsi!$C$7</f>
      </c>
    </row>
    <row r="8" spans="1:5" x14ac:dyDescent="0.25">
      <c r="A8" s="18" t="s">
        <v>153</v>
      </c>
      <c r="B8" s="18" t="s">
        <v>154</v>
      </c>
      <c r="C8" s="19">
        <f>C7*Asumsi!$C$8</f>
      </c>
      <c r="D8" s="19">
        <f>D7*Asumsi!$C$8</f>
      </c>
      <c r="E8" s="19">
        <f>E7*Asumsi!$C$8</f>
      </c>
    </row>
    <row r="10" spans="1:5" x14ac:dyDescent="0.25">
      <c r="A10" s="6" t="s">
        <v>155</v>
      </c>
      <c r="B10" s="6"/>
      <c r="C10" s="6"/>
      <c r="D10" s="6"/>
      <c r="E10" s="6"/>
    </row>
    <row r="11" spans="1:5" x14ac:dyDescent="0.25">
      <c r="A11" s="18" t="s">
        <v>156</v>
      </c>
      <c r="B11" s="18" t="s">
        <v>157</v>
      </c>
      <c r="C11" s="18" t="s">
        <v>158</v>
      </c>
      <c r="D11" s="18"/>
      <c r="E11" s="18"/>
    </row>
    <row r="12" spans="1:3" x14ac:dyDescent="0.25">
      <c r="A12" t="s">
        <v>159</v>
      </c>
      <c r="B12" t="s">
        <v>160</v>
      </c>
      <c r="C12" t="s">
        <v>161</v>
      </c>
    </row>
    <row r="13" spans="1:3" x14ac:dyDescent="0.25">
      <c r="A13" t="s">
        <v>162</v>
      </c>
      <c r="B13" t="s">
        <v>163</v>
      </c>
      <c r="C13" t="s">
        <v>164</v>
      </c>
    </row>
    <row r="14" spans="1:3" x14ac:dyDescent="0.25">
      <c r="A14" t="s">
        <v>165</v>
      </c>
      <c r="B14" t="s">
        <v>166</v>
      </c>
      <c r="C14" t="s">
        <v>167</v>
      </c>
    </row>
    <row r="15" spans="1:3" x14ac:dyDescent="0.25">
      <c r="A15" t="s">
        <v>168</v>
      </c>
      <c r="B15" t="s">
        <v>169</v>
      </c>
      <c r="C15" t="s">
        <v>170</v>
      </c>
    </row>
    <row r="16" spans="1:3" x14ac:dyDescent="0.25">
      <c r="A16" t="s">
        <v>171</v>
      </c>
      <c r="B16" t="s">
        <v>172</v>
      </c>
      <c r="C16" t="s">
        <v>173</v>
      </c>
    </row>
    <row r="17" spans="1:3" x14ac:dyDescent="0.25">
      <c r="A17" t="s">
        <v>174</v>
      </c>
      <c r="B17" t="s">
        <v>175</v>
      </c>
      <c r="C17" t="s">
        <v>176</v>
      </c>
    </row>
    <row r="19" spans="1:1" x14ac:dyDescent="0.25">
      <c r="A19" s="20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42" customWidth="1"/>
    <col min="2" max="2" width="38" customWidth="1"/>
    <col min="3" max="3" width="20" customWidth="1"/>
    <col min="4" max="5" width="22" customWidth="1"/>
  </cols>
  <sheetData>
    <row r="1" spans="1:5" x14ac:dyDescent="0.25">
      <c r="A1" s="10" t="s">
        <v>178</v>
      </c>
      <c r="B1" s="10"/>
      <c r="C1" s="10"/>
      <c r="D1" s="10"/>
      <c r="E1" s="10"/>
    </row>
    <row r="3" spans="1:5" x14ac:dyDescent="0.25">
      <c r="A3" s="3" t="s">
        <v>179</v>
      </c>
      <c r="B3" s="3" t="s">
        <v>145</v>
      </c>
      <c r="C3" s="3" t="s">
        <v>180</v>
      </c>
      <c r="D3" s="3" t="s">
        <v>181</v>
      </c>
      <c r="E3" s="3" t="s">
        <v>182</v>
      </c>
    </row>
    <row r="4" spans="1:5" x14ac:dyDescent="0.25">
      <c r="A4" t="s">
        <v>183</v>
      </c>
      <c r="B4" t="s">
        <v>184</v>
      </c>
      <c r="C4" s="21">
        <f>Asumsi!C35*Asumsi!$C$11*Asumsi!$C$10/1024</f>
      </c>
      <c r="D4" s="21">
        <f>Asumsi!D35*Asumsi!$C$11*Asumsi!$C$10/1024</f>
      </c>
      <c r="E4" s="21">
        <f>Asumsi!E35*Asumsi!$C$11*Asumsi!$C$10/1024</f>
      </c>
    </row>
    <row r="5" spans="1:5" x14ac:dyDescent="0.25">
      <c r="A5" t="s">
        <v>185</v>
      </c>
      <c r="B5" t="s">
        <v>186</v>
      </c>
      <c r="C5" s="21">
        <f>Asumsi!C37*Asumsi!$C$13*Asumsi!$C$12/1024</f>
      </c>
      <c r="D5" s="21">
        <f>Asumsi!D37*Asumsi!$C$13*Asumsi!$C$12/1024</f>
      </c>
      <c r="E5" s="21">
        <f>Asumsi!E37*Asumsi!$C$13*Asumsi!$C$12/1024</f>
      </c>
    </row>
    <row r="6" spans="1:5" x14ac:dyDescent="0.25">
      <c r="A6" t="s">
        <v>187</v>
      </c>
      <c r="B6" t="s">
        <v>188</v>
      </c>
      <c r="C6" s="21">
        <f>Asumsi!C35*Asumsi!$C$15*Asumsi!$C$14/1024</f>
      </c>
      <c r="D6" s="21">
        <f>Asumsi!D35*Asumsi!$C$15*Asumsi!$C$14/1024</f>
      </c>
      <c r="E6" s="21">
        <f>Asumsi!E35*Asumsi!$C$15*Asumsi!$C$14/1024</f>
      </c>
    </row>
    <row r="7" spans="1:5" x14ac:dyDescent="0.25">
      <c r="A7" t="s">
        <v>189</v>
      </c>
      <c r="B7" t="s">
        <v>190</v>
      </c>
      <c r="C7" s="21">
        <f>Asumsi!C36*Asumsi!$C$16</f>
      </c>
      <c r="D7" s="21">
        <f>Asumsi!D36*Asumsi!$C$16</f>
      </c>
      <c r="E7" s="21">
        <f>Asumsi!E36*Asumsi!$C$16</f>
      </c>
    </row>
    <row r="8" spans="1:5" x14ac:dyDescent="0.25">
      <c r="A8" t="s">
        <v>191</v>
      </c>
      <c r="B8" t="s">
        <v>192</v>
      </c>
      <c r="C8" s="21">
        <f>Asumsi!C35*Asumsi!$C$17/1024</f>
      </c>
      <c r="D8" s="21">
        <f>Asumsi!D35*Asumsi!$C$17/1024</f>
      </c>
      <c r="E8" s="21">
        <f>Asumsi!E35*Asumsi!$C$17/1024</f>
      </c>
    </row>
    <row r="9" spans="1:5" x14ac:dyDescent="0.25">
      <c r="A9" t="s">
        <v>193</v>
      </c>
      <c r="B9" t="s">
        <v>194</v>
      </c>
      <c r="C9" s="21">
        <f>Asumsi!C38*117/1024</f>
      </c>
      <c r="D9" s="21">
        <f>Asumsi!D38*117/1024</f>
      </c>
      <c r="E9" s="21">
        <f>Asumsi!E38*117/1024</f>
      </c>
    </row>
    <row r="10" spans="1:5" x14ac:dyDescent="0.25">
      <c r="A10" t="s">
        <v>195</v>
      </c>
      <c r="B10" t="s">
        <v>196</v>
      </c>
      <c r="C10" s="21">
        <f>Asumsi!C39*Asumsi!$C$31</f>
      </c>
      <c r="D10" s="21">
        <f>Asumsi!D39*Asumsi!$C$31</f>
      </c>
      <c r="E10" s="21">
        <f>Asumsi!E39*Asumsi!$C$31</f>
      </c>
    </row>
    <row r="11" spans="1:5" x14ac:dyDescent="0.25">
      <c r="A11" s="18" t="s">
        <v>197</v>
      </c>
      <c r="B11" s="18" t="s">
        <v>198</v>
      </c>
      <c r="C11" s="22">
        <f>SUM(C4:C10)</f>
      </c>
      <c r="D11" s="22">
        <f>SUM(D4:D10)</f>
      </c>
      <c r="E11" s="22">
        <f>SUM(E4:E10)</f>
      </c>
    </row>
    <row r="12" spans="1:5" x14ac:dyDescent="0.25">
      <c r="A12" s="18" t="s">
        <v>199</v>
      </c>
      <c r="B12" s="18" t="s">
        <v>200</v>
      </c>
      <c r="C12" s="22">
        <f>C11*Asumsi!$C$30</f>
      </c>
      <c r="D12" s="22">
        <f>D11*Asumsi!$C$30</f>
      </c>
      <c r="E12" s="22">
        <f>E11*Asumsi!$C$30</f>
      </c>
    </row>
    <row r="13" spans="1:5" x14ac:dyDescent="0.25">
      <c r="A13" s="18" t="s">
        <v>201</v>
      </c>
      <c r="B13" s="18" t="s">
        <v>202</v>
      </c>
      <c r="C13" s="22">
        <f>C11+C12</f>
      </c>
      <c r="D13" s="22">
        <f>D11+D12</f>
      </c>
      <c r="E13" s="22">
        <f>E11+E12</f>
      </c>
    </row>
    <row r="14" spans="1:5" x14ac:dyDescent="0.25">
      <c r="A14" t="s">
        <v>203</v>
      </c>
      <c r="B14" t="s">
        <v>204</v>
      </c>
      <c r="C14" s="23">
        <f>C13*Asumsi!$C$18</f>
      </c>
      <c r="D14" s="23">
        <f>D13*Asumsi!$C$18</f>
      </c>
      <c r="E14" s="23">
        <f>E13*Asumsi!$C$18</f>
      </c>
    </row>
    <row r="15" spans="1:5" x14ac:dyDescent="0.25">
      <c r="A15" t="s">
        <v>205</v>
      </c>
      <c r="B15" t="s">
        <v>206</v>
      </c>
      <c r="C15" s="24">
        <f>C14*Asumsi!$C$4</f>
      </c>
      <c r="D15" s="24">
        <f>D14*Asumsi!$C$4</f>
      </c>
      <c r="E15" s="24">
        <f>E14*Asumsi!$C$4</f>
      </c>
    </row>
    <row r="17" spans="1:5" x14ac:dyDescent="0.25">
      <c r="A17" s="20" t="s">
        <v>207</v>
      </c>
      <c r="B17" t="s">
        <v>208</v>
      </c>
      <c r="C17" s="25">
        <f>C15*5</f>
      </c>
      <c r="D17" s="25">
        <f>D15*5</f>
      </c>
      <c r="E17" s="25">
        <f>E15*5</f>
      </c>
    </row>
    <row r="18" spans="1:1" x14ac:dyDescent="0.25">
      <c r="A18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40" customWidth="1"/>
    <col min="2" max="2" width="44" customWidth="1"/>
    <col min="3" max="3" width="18" customWidth="1"/>
    <col min="4" max="5" width="20" customWidth="1"/>
    <col min="6" max="6" width="48" customWidth="1"/>
  </cols>
  <sheetData>
    <row r="1" spans="1:6" x14ac:dyDescent="0.25">
      <c r="A1" s="10" t="s">
        <v>210</v>
      </c>
      <c r="B1" s="10"/>
      <c r="C1" s="10"/>
      <c r="D1" s="10"/>
      <c r="E1" s="10"/>
      <c r="F1" s="10"/>
    </row>
    <row r="3" spans="1:6" x14ac:dyDescent="0.25">
      <c r="A3" s="3" t="s">
        <v>211</v>
      </c>
      <c r="B3" s="3" t="s">
        <v>212</v>
      </c>
      <c r="C3" s="3" t="s">
        <v>213</v>
      </c>
      <c r="D3" s="3" t="s">
        <v>214</v>
      </c>
      <c r="E3" s="3" t="s">
        <v>215</v>
      </c>
      <c r="F3" s="3" t="s">
        <v>158</v>
      </c>
    </row>
    <row r="4" spans="1:6" x14ac:dyDescent="0.25">
      <c r="A4" t="s">
        <v>216</v>
      </c>
      <c r="B4" t="s">
        <v>217</v>
      </c>
      <c r="C4" s="4">
        <v>0</v>
      </c>
      <c r="D4" s="4">
        <f>20*Asumsi!$C$4</f>
      </c>
      <c r="E4" s="4">
        <f>20*Asumsi!$C$4</f>
      </c>
      <c r="F4" t="s">
        <v>218</v>
      </c>
    </row>
    <row r="5" spans="1:6" x14ac:dyDescent="0.25">
      <c r="A5" t="s">
        <v>219</v>
      </c>
      <c r="B5" t="s">
        <v>220</v>
      </c>
      <c r="C5" s="4">
        <f>StorageR2!C15</f>
      </c>
      <c r="D5" s="4">
        <f>StorageR2!D15</f>
      </c>
      <c r="E5" s="4">
        <f>StorageR2!E15</f>
      </c>
      <c r="F5" t="s">
        <v>71</v>
      </c>
    </row>
    <row r="6" spans="1:6" x14ac:dyDescent="0.25">
      <c r="A6" t="s">
        <v>221</v>
      </c>
      <c r="B6" t="s">
        <v>222</v>
      </c>
      <c r="C6" s="4">
        <f>MAX(0,C18-Asumsi!$C$24)/1000*Asumsi!$C$23*Asumsi!$C$4</f>
      </c>
      <c r="D6" s="4">
        <f>MAX(0,D18-Asumsi!$C$24)/1000*Asumsi!$C$23*Asumsi!$C$4</f>
      </c>
      <c r="E6" s="4">
        <f>MAX(0,E18-Asumsi!$C$24)/1000*Asumsi!$C$23*Asumsi!$C$4</f>
      </c>
      <c r="F6" t="s">
        <v>223</v>
      </c>
    </row>
    <row r="7" spans="1:6" x14ac:dyDescent="0.25">
      <c r="A7" t="s">
        <v>224</v>
      </c>
      <c r="B7" t="s">
        <v>225</v>
      </c>
      <c r="C7" s="4">
        <f>Beban!C5*Asumsi!$C$28*Asumsi!$C$29</f>
      </c>
      <c r="D7" s="4">
        <f>Beban!D5*Asumsi!$C$28*Asumsi!$C$29</f>
      </c>
      <c r="E7" s="4">
        <f>Beban!E5*Asumsi!$C$28*Asumsi!$C$29</f>
      </c>
      <c r="F7" t="s">
        <v>226</v>
      </c>
    </row>
    <row r="8" spans="1:6" x14ac:dyDescent="0.25">
      <c r="A8" t="s">
        <v>227</v>
      </c>
      <c r="B8" t="s">
        <v>228</v>
      </c>
      <c r="C8" s="4">
        <f>IF(C19&lt;=3000,0,IF(C19&lt;=50000,20*Asumsi!$C$4,IF(C19&lt;=100000,90*Asumsi!$C$4,C19/1000*0.1*Asumsi!$C$4)))</f>
      </c>
      <c r="D8" s="4">
        <f>IF(D19&lt;=3000,0,IF(D19&lt;=50000,20*Asumsi!$C$4,IF(D19&lt;=100000,90*Asumsi!$C$4,D19/1000*0.1*Asumsi!$C$4)))</f>
      </c>
      <c r="E8" s="4">
        <f>IF(E19&lt;=3000,0,IF(E19&lt;=50000,20*Asumsi!$C$4,IF(E19&lt;=100000,90*Asumsi!$C$4,E19/1000*0.1*Asumsi!$C$4)))</f>
      </c>
      <c r="F8" t="s">
        <v>229</v>
      </c>
    </row>
    <row r="9" spans="1:6" x14ac:dyDescent="0.25">
      <c r="A9" t="s">
        <v>230</v>
      </c>
      <c r="B9" t="s">
        <v>231</v>
      </c>
      <c r="C9" s="4">
        <v>0</v>
      </c>
      <c r="D9" s="4">
        <f>26*Asumsi!$C$4</f>
      </c>
      <c r="E9" s="4">
        <f>26*Asumsi!$C$4</f>
      </c>
      <c r="F9" t="s">
        <v>232</v>
      </c>
    </row>
    <row r="10" spans="1:5" x14ac:dyDescent="0.25">
      <c r="A10" t="s">
        <v>233</v>
      </c>
      <c r="B10" t="s">
        <v>234</v>
      </c>
      <c r="C10" s="4">
        <v>0</v>
      </c>
      <c r="D10" s="4">
        <v>0</v>
      </c>
      <c r="E10" s="4">
        <f>25*Asumsi!$C$4</f>
      </c>
    </row>
    <row r="11" spans="1:5" x14ac:dyDescent="0.25">
      <c r="A11" t="s">
        <v>235</v>
      </c>
      <c r="B11" t="s">
        <v>236</v>
      </c>
      <c r="C11" s="4">
        <f>300000/12</f>
      </c>
      <c r="D11" s="4">
        <f>300000/12</f>
      </c>
      <c r="E11" s="4">
        <f>300000/12</f>
      </c>
    </row>
    <row r="12" spans="1:6" x14ac:dyDescent="0.25">
      <c r="A12" t="s">
        <v>237</v>
      </c>
      <c r="B12" t="s">
        <v>238</v>
      </c>
      <c r="C12" s="4">
        <v>0</v>
      </c>
      <c r="D12" s="4">
        <v>0</v>
      </c>
      <c r="E12" s="4">
        <v>0</v>
      </c>
      <c r="F12" t="s">
        <v>239</v>
      </c>
    </row>
    <row r="13" spans="1:6" x14ac:dyDescent="0.25">
      <c r="A13" t="s">
        <v>240</v>
      </c>
      <c r="B13" t="s">
        <v>241</v>
      </c>
      <c r="C13" s="4">
        <v>0</v>
      </c>
      <c r="D13" s="4">
        <v>0</v>
      </c>
      <c r="E13" s="4">
        <v>0</v>
      </c>
      <c r="F13" t="s">
        <v>242</v>
      </c>
    </row>
    <row r="14" spans="1:6" x14ac:dyDescent="0.25">
      <c r="A14" t="s">
        <v>243</v>
      </c>
      <c r="B14" t="s">
        <v>244</v>
      </c>
      <c r="C14" s="4">
        <v>0</v>
      </c>
      <c r="D14" s="4">
        <v>0</v>
      </c>
      <c r="E14" s="4">
        <v>0</v>
      </c>
      <c r="F14" t="s">
        <v>245</v>
      </c>
    </row>
    <row r="15" spans="1:6" x14ac:dyDescent="0.25">
      <c r="A15" s="26" t="s">
        <v>246</v>
      </c>
      <c r="B15" s="26" t="s">
        <v>247</v>
      </c>
      <c r="C15" s="27">
        <f>SUM(C4:C14)+SUM(C22:C24)</f>
      </c>
      <c r="D15" s="27">
        <f>SUM(D4:D14)+SUM(D22:D24)</f>
      </c>
      <c r="E15" s="27">
        <f>SUM(E4:E14)+SUM(E22:E24)</f>
      </c>
      <c r="F15" s="26" t="s">
        <v>248</v>
      </c>
    </row>
    <row r="17" spans="1:6" x14ac:dyDescent="0.25">
      <c r="A17" s="6" t="s">
        <v>249</v>
      </c>
      <c r="B17" s="6"/>
      <c r="C17" s="6" t="s">
        <v>132</v>
      </c>
      <c r="D17" s="6" t="s">
        <v>133</v>
      </c>
      <c r="E17" s="6" t="s">
        <v>134</v>
      </c>
      <c r="F17" s="6"/>
    </row>
    <row r="18" spans="1:6" x14ac:dyDescent="0.25">
      <c r="A18" t="s">
        <v>250</v>
      </c>
      <c r="B18" t="s">
        <v>251</v>
      </c>
      <c r="C18" s="17">
        <f>Beban!C5*Asumsi!$C$21*Asumsi!$C$22*Asumsi!$C$25</f>
      </c>
      <c r="D18" s="17">
        <f>Beban!D5*Asumsi!$C$21*Asumsi!$C$22*Asumsi!$C$25</f>
      </c>
      <c r="E18" s="17">
        <f>Beban!E5*Asumsi!$C$21*Asumsi!$C$22*Asumsi!$C$25</f>
      </c>
      <c r="F18" t="s">
        <v>252</v>
      </c>
    </row>
    <row r="19" spans="1:5" x14ac:dyDescent="0.25">
      <c r="A19" t="s">
        <v>253</v>
      </c>
      <c r="B19" t="s">
        <v>254</v>
      </c>
      <c r="C19" s="17">
        <f>Beban!C5*Asumsi!$C$27*Asumsi!$C$26</f>
      </c>
      <c r="D19" s="17">
        <f>Beban!D5*Asumsi!$C$27*Asumsi!$C$26</f>
      </c>
      <c r="E19" s="17">
        <f>Beban!E5*Asumsi!$C$27*Asumsi!$C$26</f>
      </c>
    </row>
    <row r="21" spans="1:1" x14ac:dyDescent="0.25">
      <c r="A21" s="15" t="s">
        <v>255</v>
      </c>
    </row>
    <row r="22" spans="1:6" x14ac:dyDescent="0.25">
      <c r="A22" t="s">
        <v>256</v>
      </c>
      <c r="B22" t="s">
        <v>257</v>
      </c>
      <c r="C22" s="4">
        <f>Asumsi!$C$42*Asumsi!C43*Asumsi!$C$4/12</f>
      </c>
      <c r="D22" s="4">
        <f>Asumsi!$D$42*Asumsi!D43*Asumsi!$C$4/12</f>
      </c>
      <c r="E22" s="4">
        <f>Asumsi!$E$42*Asumsi!E43*Asumsi!$C$4/12</f>
      </c>
      <c r="F22" t="s">
        <v>258</v>
      </c>
    </row>
    <row r="23" spans="1:6" x14ac:dyDescent="0.25">
      <c r="A23" t="s">
        <v>259</v>
      </c>
      <c r="B23" t="s">
        <v>260</v>
      </c>
      <c r="C23" s="4">
        <f>Asumsi!C44*Asumsi!$C$4</f>
      </c>
      <c r="D23" s="4">
        <f>Asumsi!D44*Asumsi!$C$4</f>
      </c>
      <c r="E23" s="4">
        <f>Asumsi!E44*Asumsi!$C$4</f>
      </c>
      <c r="F23" t="s">
        <v>261</v>
      </c>
    </row>
    <row r="24" spans="1:6" x14ac:dyDescent="0.25">
      <c r="A24" t="s">
        <v>262</v>
      </c>
      <c r="B24" t="s">
        <v>263</v>
      </c>
      <c r="C24" s="4">
        <f>Asumsi!C45*Asumsi!$C$4</f>
      </c>
      <c r="D24" s="4">
        <f>Asumsi!D45*Asumsi!$C$4</f>
      </c>
      <c r="E24" s="4">
        <f>Asumsi!E45*Asumsi!$C$4</f>
      </c>
      <c r="F24" t="s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36" customWidth="1"/>
    <col min="2" max="2" width="56" customWidth="1"/>
    <col min="3" max="4" width="16" customWidth="1"/>
    <col min="5" max="5" width="20" customWidth="1"/>
  </cols>
  <sheetData>
    <row r="1" spans="1:5" x14ac:dyDescent="0.25">
      <c r="A1" s="10" t="s">
        <v>265</v>
      </c>
      <c r="B1" s="10"/>
      <c r="C1" s="10"/>
      <c r="D1" s="10"/>
      <c r="E1" s="10"/>
    </row>
    <row r="3" spans="1:5" x14ac:dyDescent="0.25">
      <c r="A3" s="3" t="s">
        <v>156</v>
      </c>
      <c r="B3" s="3" t="s">
        <v>266</v>
      </c>
      <c r="C3" s="3" t="s">
        <v>267</v>
      </c>
      <c r="D3" s="3" t="s">
        <v>268</v>
      </c>
      <c r="E3" s="3" t="s">
        <v>269</v>
      </c>
    </row>
    <row r="4" spans="1:5" x14ac:dyDescent="0.25">
      <c r="A4" t="s">
        <v>270</v>
      </c>
      <c r="B4" t="s">
        <v>271</v>
      </c>
      <c r="C4" s="28">
        <v>150000</v>
      </c>
      <c r="D4" s="28">
        <v>350000</v>
      </c>
      <c r="E4" s="5">
        <f>AVERAGE(C4:D4)</f>
      </c>
    </row>
    <row r="5" spans="1:5" x14ac:dyDescent="0.25">
      <c r="A5" t="s">
        <v>272</v>
      </c>
      <c r="B5" t="s">
        <v>273</v>
      </c>
      <c r="C5" s="28">
        <v>400000</v>
      </c>
      <c r="D5" s="28">
        <v>800000</v>
      </c>
      <c r="E5" s="5">
        <f>AVERAGE(C5:D5)</f>
      </c>
    </row>
    <row r="6" spans="1:5" x14ac:dyDescent="0.25">
      <c r="A6" t="s">
        <v>274</v>
      </c>
      <c r="B6" t="s">
        <v>275</v>
      </c>
      <c r="C6" s="28">
        <v>1300000</v>
      </c>
      <c r="D6" s="28">
        <v>2600000</v>
      </c>
      <c r="E6" s="5">
        <f>AVERAGE(C6:D6)</f>
      </c>
    </row>
    <row r="7" spans="1:5" x14ac:dyDescent="0.25">
      <c r="A7" t="s">
        <v>276</v>
      </c>
      <c r="B7" t="s">
        <v>277</v>
      </c>
      <c r="C7" s="28">
        <v>5000000</v>
      </c>
      <c r="D7" s="28">
        <v>10000000</v>
      </c>
      <c r="E7" s="5">
        <f>AVERAGE(C7:D7)</f>
      </c>
    </row>
    <row r="8" spans="1:5" x14ac:dyDescent="0.25">
      <c r="A8" t="s">
        <v>278</v>
      </c>
      <c r="B8" t="s">
        <v>279</v>
      </c>
      <c r="C8" s="28">
        <v>250000</v>
      </c>
      <c r="D8" s="28">
        <v>500000</v>
      </c>
      <c r="E8" s="5">
        <f>AVERAGE(C8:D8)</f>
      </c>
    </row>
    <row r="10" spans="1:5" x14ac:dyDescent="0.25">
      <c r="A10" s="29" t="s">
        <v>280</v>
      </c>
      <c r="B10" s="29"/>
      <c r="C10" s="29"/>
      <c r="D10" s="29"/>
      <c r="E10" s="29"/>
    </row>
    <row r="11" spans="1:5" x14ac:dyDescent="0.25">
      <c r="A11" s="29" t="s">
        <v>2</v>
      </c>
      <c r="B11" s="29" t="s">
        <v>281</v>
      </c>
      <c r="C11" s="29"/>
      <c r="D11" s="29"/>
      <c r="E11" s="29" t="s">
        <v>282</v>
      </c>
    </row>
    <row r="12" spans="1:5" x14ac:dyDescent="0.25">
      <c r="A12" t="s">
        <v>116</v>
      </c>
      <c r="B12" t="s">
        <v>283</v>
      </c>
      <c r="E12" s="5">
        <f>E4+E5</f>
      </c>
    </row>
    <row r="13" spans="1:5" x14ac:dyDescent="0.25">
      <c r="A13" t="s">
        <v>117</v>
      </c>
      <c r="B13" t="s">
        <v>284</v>
      </c>
      <c r="E13" s="5">
        <f>E4+E6</f>
      </c>
    </row>
    <row r="14" spans="1:5" x14ac:dyDescent="0.25">
      <c r="A14" t="s">
        <v>118</v>
      </c>
      <c r="B14" t="s">
        <v>285</v>
      </c>
      <c r="E14" s="5">
        <f>E8+E7</f>
      </c>
    </row>
    <row r="16" spans="1:1" x14ac:dyDescent="0.25">
      <c r="A16" s="20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FormatPr defaultRowHeight="15" outlineLevelRow="0" outlineLevelCol="0" x14ac:dyDescent="55"/>
  <cols>
    <col min="1" max="1" width="52" customWidth="1"/>
    <col min="2" max="2" width="46" customWidth="1"/>
    <col min="3" max="3" width="20" customWidth="1"/>
  </cols>
  <sheetData>
    <row r="1" spans="1:3" x14ac:dyDescent="0.25">
      <c r="A1" s="10" t="s">
        <v>287</v>
      </c>
      <c r="B1" s="10"/>
      <c r="C1" s="10"/>
    </row>
    <row r="3" spans="1:3" x14ac:dyDescent="0.25">
      <c r="A3" s="3" t="s">
        <v>288</v>
      </c>
      <c r="B3" s="3" t="s">
        <v>289</v>
      </c>
      <c r="C3" s="3" t="s">
        <v>290</v>
      </c>
    </row>
    <row r="4" spans="1:3" x14ac:dyDescent="0.25">
      <c r="A4" t="s">
        <v>291</v>
      </c>
      <c r="B4" t="s">
        <v>292</v>
      </c>
      <c r="C4" s="4">
        <f>12*Server!E4</f>
      </c>
    </row>
    <row r="5" spans="1:3" x14ac:dyDescent="0.25">
      <c r="A5" t="s">
        <v>293</v>
      </c>
      <c r="B5" t="s">
        <v>294</v>
      </c>
      <c r="C5" s="4">
        <f>5*(Server!E5+Software!C15)</f>
      </c>
    </row>
    <row r="6" spans="1:3" x14ac:dyDescent="0.25">
      <c r="A6" t="s">
        <v>295</v>
      </c>
      <c r="B6" t="s">
        <v>296</v>
      </c>
      <c r="C6" s="4">
        <f>7*(Server!E6+Software!D15)</f>
      </c>
    </row>
    <row r="7" spans="1:3" x14ac:dyDescent="0.25">
      <c r="A7" t="s">
        <v>297</v>
      </c>
      <c r="B7" t="s">
        <v>298</v>
      </c>
      <c r="C7" s="4">
        <v>0</v>
      </c>
    </row>
    <row r="8" spans="1:3" x14ac:dyDescent="0.25">
      <c r="A8" s="30" t="s">
        <v>299</v>
      </c>
      <c r="B8" s="30" t="s">
        <v>300</v>
      </c>
      <c r="C8" s="31">
        <f>SUM(C4:C7)</f>
      </c>
    </row>
    <row r="9" spans="1:3" x14ac:dyDescent="0.25">
      <c r="A9" t="s">
        <v>301</v>
      </c>
      <c r="B9" t="s">
        <v>302</v>
      </c>
      <c r="C9" s="4">
        <f>C8*Asumsi!$C$19</f>
      </c>
    </row>
    <row r="10" spans="1:3" x14ac:dyDescent="0.25">
      <c r="A10" s="32" t="s">
        <v>303</v>
      </c>
      <c r="B10" s="32" t="s">
        <v>304</v>
      </c>
      <c r="C10" s="33">
        <f>C8+C9</f>
      </c>
    </row>
    <row r="11" spans="1:3" x14ac:dyDescent="0.25">
      <c r="A11" s="34" t="s">
        <v>305</v>
      </c>
      <c r="B11" s="34" t="s">
        <v>306</v>
      </c>
      <c r="C11" s="35" t="s">
        <v>307</v>
      </c>
    </row>
    <row r="12" spans="1:3" x14ac:dyDescent="0.25">
      <c r="A12" t="s">
        <v>308</v>
      </c>
      <c r="B12" t="s">
        <v>309</v>
      </c>
      <c r="C12" s="4">
        <f>C11-C10</f>
      </c>
    </row>
    <row r="14" spans="1:3" x14ac:dyDescent="0.25">
      <c r="A14" s="6" t="s">
        <v>310</v>
      </c>
      <c r="B14" s="6"/>
      <c r="C14" s="6"/>
    </row>
    <row r="15" spans="1:3" x14ac:dyDescent="0.25">
      <c r="A15" t="s">
        <v>311</v>
      </c>
      <c r="B15" t="s">
        <v>312</v>
      </c>
      <c r="C15" s="4">
        <f>3600*Asumsi!$C$4</f>
      </c>
    </row>
    <row r="16" spans="1:3" x14ac:dyDescent="0.25">
      <c r="A16" t="s">
        <v>313</v>
      </c>
      <c r="B16" t="s">
        <v>314</v>
      </c>
      <c r="C16" s="4">
        <f>12000*Asumsi!$C$4</f>
      </c>
    </row>
    <row r="17" spans="1:3" x14ac:dyDescent="0.25">
      <c r="A17" t="s">
        <v>315</v>
      </c>
      <c r="B17" t="s">
        <v>316</v>
      </c>
      <c r="C17" s="9">
        <f>C10/C15</f>
      </c>
    </row>
    <row r="18" spans="1:3" x14ac:dyDescent="0.25">
      <c r="A18" t="s">
        <v>317</v>
      </c>
      <c r="B18" t="s">
        <v>318</v>
      </c>
      <c r="C18" s="9">
        <f>C10/C16</f>
      </c>
    </row>
    <row r="20" spans="1:1" x14ac:dyDescent="0.25">
      <c r="A20" s="20" t="s">
        <v>319</v>
      </c>
    </row>
    <row r="22" spans="1:3" x14ac:dyDescent="0.25">
      <c r="A22" s="6" t="s">
        <v>320</v>
      </c>
      <c r="B22" s="6"/>
      <c r="C22" s="6"/>
    </row>
    <row r="23" spans="1:3" x14ac:dyDescent="0.25">
      <c r="A23" t="s">
        <v>321</v>
      </c>
      <c r="B23" t="s">
        <v>322</v>
      </c>
      <c r="C23" s="4">
        <f>12*Server!E4+3*(Server!E5+Software!C15)+9*(Server!E6+Software!D15)</f>
      </c>
    </row>
    <row r="24" spans="1:3" x14ac:dyDescent="0.25">
      <c r="A24" t="s">
        <v>301</v>
      </c>
      <c r="B24" t="s">
        <v>323</v>
      </c>
      <c r="C24" s="4">
        <f>C23*Asumsi!$C$19</f>
      </c>
    </row>
    <row r="25" spans="1:3" x14ac:dyDescent="0.25">
      <c r="A25" s="18" t="s">
        <v>324</v>
      </c>
      <c r="B25" s="18" t="s">
        <v>304</v>
      </c>
      <c r="C25" s="5">
        <f>C23+C24</f>
      </c>
    </row>
    <row r="26" spans="1:3" x14ac:dyDescent="0.25">
      <c r="A26" t="s">
        <v>325</v>
      </c>
      <c r="B26" t="s">
        <v>326</v>
      </c>
      <c r="C26" s="4">
        <f>C11-C25</f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34" customWidth="1"/>
    <col min="2" max="3" width="26" customWidth="1"/>
    <col min="4" max="4" width="70" customWidth="1"/>
  </cols>
  <sheetData>
    <row r="1" spans="1:4" x14ac:dyDescent="0.25">
      <c r="A1" s="10" t="s">
        <v>327</v>
      </c>
      <c r="B1" s="10"/>
      <c r="C1" s="10"/>
      <c r="D1" s="10"/>
    </row>
    <row r="3" spans="1:4" x14ac:dyDescent="0.25">
      <c r="A3" s="3" t="s">
        <v>328</v>
      </c>
      <c r="B3" s="3" t="s">
        <v>329</v>
      </c>
      <c r="C3" s="3" t="s">
        <v>330</v>
      </c>
      <c r="D3" s="3" t="s">
        <v>158</v>
      </c>
    </row>
    <row r="4" spans="1:4" x14ac:dyDescent="0.25">
      <c r="A4" t="s">
        <v>331</v>
      </c>
      <c r="B4" t="s">
        <v>332</v>
      </c>
      <c r="C4" t="s">
        <v>333</v>
      </c>
      <c r="D4" t="s">
        <v>334</v>
      </c>
    </row>
    <row r="5" spans="1:4" x14ac:dyDescent="0.25">
      <c r="A5" t="s">
        <v>335</v>
      </c>
      <c r="B5" t="s">
        <v>336</v>
      </c>
      <c r="C5" t="s">
        <v>333</v>
      </c>
      <c r="D5" t="s">
        <v>337</v>
      </c>
    </row>
    <row r="6" spans="1:4" x14ac:dyDescent="0.25">
      <c r="A6" t="s">
        <v>338</v>
      </c>
      <c r="B6" t="s">
        <v>339</v>
      </c>
      <c r="C6" t="s">
        <v>340</v>
      </c>
      <c r="D6" t="s">
        <v>341</v>
      </c>
    </row>
    <row r="7" spans="1:4" x14ac:dyDescent="0.25">
      <c r="A7" t="s">
        <v>342</v>
      </c>
      <c r="B7" t="s">
        <v>343</v>
      </c>
      <c r="C7" t="s">
        <v>344</v>
      </c>
      <c r="D7" t="s">
        <v>345</v>
      </c>
    </row>
    <row r="9" spans="1:4" x14ac:dyDescent="0.25">
      <c r="A9" s="18" t="s">
        <v>346</v>
      </c>
      <c r="B9" s="18"/>
      <c r="C9" s="18"/>
      <c r="D9" s="18"/>
    </row>
    <row r="11" spans="1:4" x14ac:dyDescent="0.25">
      <c r="A11" s="6" t="s">
        <v>347</v>
      </c>
      <c r="B11" s="6"/>
      <c r="C11" s="6"/>
      <c r="D11" s="6"/>
    </row>
    <row r="12" spans="1:1" x14ac:dyDescent="0.25">
      <c r="A12" t="s">
        <v>348</v>
      </c>
    </row>
    <row r="13" spans="1:1" x14ac:dyDescent="0.25">
      <c r="A13" t="s">
        <v>349</v>
      </c>
    </row>
    <row r="14" spans="1:1" x14ac:dyDescent="0.25">
      <c r="A14" t="s">
        <v>350</v>
      </c>
    </row>
    <row r="15" spans="1:1" x14ac:dyDescent="0.25">
      <c r="A15" t="s">
        <v>351</v>
      </c>
    </row>
    <row r="16" spans="1:1" x14ac:dyDescent="0.25">
      <c r="A16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cols>
    <col min="1" max="1" width="46" customWidth="1"/>
    <col min="2" max="2" width="44" customWidth="1"/>
    <col min="3" max="3" width="20" customWidth="1"/>
    <col min="4" max="4" width="56" customWidth="1"/>
  </cols>
  <sheetData>
    <row r="1" spans="1:4" x14ac:dyDescent="0.25">
      <c r="A1" s="10" t="s">
        <v>353</v>
      </c>
      <c r="B1" s="10"/>
      <c r="C1" s="10"/>
      <c r="D1" s="10"/>
    </row>
    <row r="3" spans="1:4" x14ac:dyDescent="0.25">
      <c r="A3" s="3" t="s">
        <v>354</v>
      </c>
      <c r="B3" s="3" t="s">
        <v>355</v>
      </c>
      <c r="C3" s="3" t="s">
        <v>356</v>
      </c>
      <c r="D3" s="3" t="s">
        <v>158</v>
      </c>
    </row>
    <row r="4" spans="1:4" x14ac:dyDescent="0.25">
      <c r="A4" t="s">
        <v>357</v>
      </c>
      <c r="B4" t="s">
        <v>358</v>
      </c>
      <c r="C4" s="28">
        <v>150000000</v>
      </c>
      <c r="D4" t="s">
        <v>359</v>
      </c>
    </row>
    <row r="5" spans="1:4" x14ac:dyDescent="0.25">
      <c r="A5" t="s">
        <v>360</v>
      </c>
      <c r="B5" t="s">
        <v>361</v>
      </c>
      <c r="C5" s="28">
        <v>40000000</v>
      </c>
      <c r="D5" t="s">
        <v>362</v>
      </c>
    </row>
    <row r="6" spans="1:4" x14ac:dyDescent="0.25">
      <c r="A6" t="s">
        <v>363</v>
      </c>
      <c r="C6" s="28">
        <v>20000000</v>
      </c>
      <c r="D6" t="s">
        <v>364</v>
      </c>
    </row>
    <row r="7" spans="1:4" x14ac:dyDescent="0.25">
      <c r="A7" t="s">
        <v>365</v>
      </c>
      <c r="B7" t="s">
        <v>366</v>
      </c>
      <c r="C7" s="28">
        <v>20000000</v>
      </c>
      <c r="D7" t="s">
        <v>367</v>
      </c>
    </row>
    <row r="8" spans="1:4" x14ac:dyDescent="0.25">
      <c r="A8" s="18" t="s">
        <v>368</v>
      </c>
      <c r="B8" s="18" t="s">
        <v>198</v>
      </c>
      <c r="C8" s="5">
        <f>SUM(C4:C7)</f>
      </c>
      <c r="D8" s="18" t="s">
        <v>369</v>
      </c>
    </row>
    <row r="9" spans="1:3" x14ac:dyDescent="0.25">
      <c r="A9" t="s">
        <v>370</v>
      </c>
      <c r="B9" t="s">
        <v>371</v>
      </c>
      <c r="C9" s="36">
        <v>4</v>
      </c>
    </row>
    <row r="10" spans="1:3" x14ac:dyDescent="0.25">
      <c r="A10" t="s">
        <v>372</v>
      </c>
      <c r="B10" t="s">
        <v>373</v>
      </c>
      <c r="C10" s="4">
        <f>C8/(C9*12)</f>
      </c>
    </row>
    <row r="12" spans="1:4" x14ac:dyDescent="0.25">
      <c r="A12" s="3" t="s">
        <v>374</v>
      </c>
      <c r="B12" s="3" t="s">
        <v>355</v>
      </c>
      <c r="C12" s="3" t="s">
        <v>375</v>
      </c>
      <c r="D12" s="3" t="s">
        <v>158</v>
      </c>
    </row>
    <row r="13" spans="1:4" x14ac:dyDescent="0.25">
      <c r="A13" t="s">
        <v>376</v>
      </c>
      <c r="B13" t="s">
        <v>377</v>
      </c>
      <c r="C13" s="28">
        <v>4500000</v>
      </c>
      <c r="D13" t="s">
        <v>378</v>
      </c>
    </row>
    <row r="14" spans="1:4" x14ac:dyDescent="0.25">
      <c r="A14" t="s">
        <v>379</v>
      </c>
      <c r="B14" t="s">
        <v>380</v>
      </c>
      <c r="C14" s="28">
        <v>6500000</v>
      </c>
      <c r="D14" t="s">
        <v>381</v>
      </c>
    </row>
    <row r="15" spans="1:3" x14ac:dyDescent="0.25">
      <c r="A15" t="s">
        <v>382</v>
      </c>
      <c r="B15" t="s">
        <v>383</v>
      </c>
      <c r="C15" s="28">
        <v>500000</v>
      </c>
    </row>
    <row r="16" spans="1:4" x14ac:dyDescent="0.25">
      <c r="A16" s="18" t="s">
        <v>384</v>
      </c>
      <c r="B16" s="18" t="s">
        <v>198</v>
      </c>
      <c r="C16" s="5">
        <f>SUM(C13:C15)</f>
      </c>
      <c r="D16" s="18" t="s">
        <v>385</v>
      </c>
    </row>
    <row r="18" spans="1:4" x14ac:dyDescent="0.25">
      <c r="A18" s="6" t="s">
        <v>386</v>
      </c>
      <c r="B18" s="6"/>
      <c r="C18" s="6"/>
      <c r="D18" s="6"/>
    </row>
    <row r="19" spans="1:4" x14ac:dyDescent="0.25">
      <c r="A19" t="s">
        <v>387</v>
      </c>
      <c r="B19" t="s">
        <v>388</v>
      </c>
      <c r="C19" s="4">
        <f>C16+C10</f>
      </c>
      <c r="D19" t="s">
        <v>389</v>
      </c>
    </row>
    <row r="20" spans="1:3" x14ac:dyDescent="0.25">
      <c r="A20" t="s">
        <v>390</v>
      </c>
      <c r="B20" t="s">
        <v>391</v>
      </c>
      <c r="C20" s="4">
        <f>Ringkasan!E7</f>
      </c>
    </row>
    <row r="21" spans="1:3" x14ac:dyDescent="0.25">
      <c r="A21" t="s">
        <v>392</v>
      </c>
      <c r="B21" t="s">
        <v>393</v>
      </c>
      <c r="C21" s="4">
        <f>C20-C19</f>
      </c>
    </row>
    <row r="22" spans="1:3" x14ac:dyDescent="0.25">
      <c r="A22" t="s">
        <v>394</v>
      </c>
      <c r="B22" t="s">
        <v>395</v>
      </c>
      <c r="C22">
        <f>IF(C23-C19&gt;0,C8/(C23-C19),"—")</f>
      </c>
    </row>
    <row r="23" spans="1:4" x14ac:dyDescent="0.25">
      <c r="A23" t="s">
        <v>396</v>
      </c>
      <c r="B23" t="s">
        <v>397</v>
      </c>
      <c r="C23" s="28">
        <v>25000000</v>
      </c>
      <c r="D23" t="s">
        <v>398</v>
      </c>
    </row>
    <row r="25" spans="1:4" x14ac:dyDescent="0.25">
      <c r="A25" s="3" t="s">
        <v>399</v>
      </c>
      <c r="B25" s="3"/>
      <c r="C25" s="3"/>
      <c r="D25" s="3"/>
    </row>
    <row r="26" spans="1:4" x14ac:dyDescent="0.25">
      <c r="A26" s="18" t="s">
        <v>3</v>
      </c>
      <c r="B26" s="18" t="s">
        <v>400</v>
      </c>
      <c r="C26" s="18" t="s">
        <v>401</v>
      </c>
      <c r="D26" s="18" t="s">
        <v>158</v>
      </c>
    </row>
    <row r="27" spans="1:4" x14ac:dyDescent="0.25">
      <c r="A27" t="s">
        <v>402</v>
      </c>
      <c r="B27" t="s">
        <v>403</v>
      </c>
      <c r="C27" s="4">
        <f>Anggaran12Bln!C11</f>
      </c>
      <c r="D27" t="s">
        <v>404</v>
      </c>
    </row>
    <row r="28" spans="1:4" x14ac:dyDescent="0.25">
      <c r="A28" t="s">
        <v>405</v>
      </c>
      <c r="B28" t="s">
        <v>406</v>
      </c>
      <c r="C28" s="4">
        <f>(5*Ringkasan!E6+7*Ringkasan!E7)*(1+Asumsi!$C$19)</f>
      </c>
      <c r="D28" t="s">
        <v>407</v>
      </c>
    </row>
    <row r="29" spans="1:4" x14ac:dyDescent="0.25">
      <c r="A29" t="s">
        <v>408</v>
      </c>
      <c r="B29" t="s">
        <v>409</v>
      </c>
      <c r="C29" s="4">
        <f>(8*Ringkasan!E7+C8+4*C16)*(1+Asumsi!$C$19)</f>
      </c>
      <c r="D29" t="s">
        <v>410</v>
      </c>
    </row>
    <row r="30" spans="1:4" x14ac:dyDescent="0.25">
      <c r="A30" s="7" t="s">
        <v>411</v>
      </c>
      <c r="B30" s="7" t="s">
        <v>412</v>
      </c>
      <c r="C30" s="8">
        <f>SUM(C27:C29)</f>
      </c>
      <c r="D30" s="7"/>
    </row>
    <row r="31" spans="1:4" x14ac:dyDescent="0.25">
      <c r="A31" t="s">
        <v>413</v>
      </c>
      <c r="B31" t="s">
        <v>414</v>
      </c>
      <c r="C31" s="4">
        <f>(C16+C10)*12</f>
      </c>
      <c r="D31" t="s">
        <v>415</v>
      </c>
    </row>
    <row r="32" spans="1:3" x14ac:dyDescent="0.25">
      <c r="A32" t="s">
        <v>416</v>
      </c>
      <c r="B32" t="s">
        <v>417</v>
      </c>
      <c r="C32" s="4">
        <f>(3600+12000+36000)*Asumsi!$C$4</f>
      </c>
    </row>
    <row r="33" spans="1:3" x14ac:dyDescent="0.25">
      <c r="A33" t="s">
        <v>418</v>
      </c>
      <c r="B33" t="s">
        <v>419</v>
      </c>
      <c r="C33" s="9">
        <f>C30/C32</f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FormatPr defaultRowHeight="15" outlineLevelRow="0" outlineLevelCol="0" x14ac:dyDescent="55"/>
  <cols>
    <col min="1" max="1" width="52" customWidth="1"/>
    <col min="2" max="2" width="16" customWidth="1"/>
    <col min="3" max="3" width="10" customWidth="1"/>
    <col min="4" max="4" width="11" customWidth="1"/>
    <col min="5" max="6" width="10" customWidth="1"/>
    <col min="7" max="7" width="13" customWidth="1"/>
    <col min="8" max="8" width="15" customWidth="1"/>
    <col min="9" max="10" width="14" customWidth="1"/>
  </cols>
  <sheetData>
    <row r="1" spans="1:1" x14ac:dyDescent="0.25">
      <c r="A1" s="37" t="s">
        <v>420</v>
      </c>
    </row>
    <row r="2" spans="1:1" x14ac:dyDescent="0.25">
      <c r="A2" s="2" t="s">
        <v>421</v>
      </c>
    </row>
    <row r="4" spans="1:1" x14ac:dyDescent="0.25">
      <c r="A4" s="15" t="s">
        <v>422</v>
      </c>
    </row>
    <row r="5" spans="1:2" x14ac:dyDescent="0.25">
      <c r="A5" t="s">
        <v>423</v>
      </c>
      <c r="B5" s="16">
        <v>1.2</v>
      </c>
    </row>
    <row r="6" spans="1:2" x14ac:dyDescent="0.25">
      <c r="A6" t="s">
        <v>424</v>
      </c>
      <c r="B6" s="16">
        <v>10</v>
      </c>
    </row>
    <row r="7" spans="1:2" x14ac:dyDescent="0.25">
      <c r="A7" t="s">
        <v>425</v>
      </c>
      <c r="B7" s="16">
        <v>20</v>
      </c>
    </row>
    <row r="8" spans="1:2" x14ac:dyDescent="0.25">
      <c r="A8" t="s">
        <v>426</v>
      </c>
      <c r="B8" s="16">
        <v>3</v>
      </c>
    </row>
    <row r="9" spans="1:2" x14ac:dyDescent="0.25">
      <c r="A9" t="s">
        <v>427</v>
      </c>
      <c r="B9" s="16">
        <v>16000</v>
      </c>
    </row>
    <row r="11" spans="1:1" x14ac:dyDescent="0.25">
      <c r="A11" s="15" t="s">
        <v>428</v>
      </c>
    </row>
    <row r="12" spans="1:10" x14ac:dyDescent="0.25">
      <c r="A12" s="38" t="s">
        <v>20</v>
      </c>
      <c r="B12" s="38" t="s">
        <v>429</v>
      </c>
      <c r="C12" s="38" t="s">
        <v>430</v>
      </c>
      <c r="D12" s="38" t="s">
        <v>431</v>
      </c>
      <c r="E12" s="38" t="s">
        <v>432</v>
      </c>
      <c r="F12" s="38" t="s">
        <v>433</v>
      </c>
      <c r="G12" s="38" t="s">
        <v>434</v>
      </c>
      <c r="H12" s="38" t="s">
        <v>435</v>
      </c>
      <c r="I12" s="38" t="s">
        <v>436</v>
      </c>
      <c r="J12" s="38" t="s">
        <v>437</v>
      </c>
    </row>
    <row r="13" spans="1:10" x14ac:dyDescent="0.25">
      <c r="A13" t="s">
        <v>438</v>
      </c>
      <c r="B13" t="s">
        <v>439</v>
      </c>
      <c r="C13" s="39">
        <v>14</v>
      </c>
      <c r="D13" s="39">
        <v>1</v>
      </c>
      <c r="E13" s="39">
        <v>1</v>
      </c>
      <c r="F13" s="39">
        <v>1</v>
      </c>
      <c r="G13" s="21">
        <f>C13*$B$5</f>
      </c>
      <c r="H13" s="21">
        <f>G13*D13</f>
      </c>
      <c r="I13" s="21">
        <f>G13*E13</f>
      </c>
      <c r="J13" s="21">
        <f>G13*F13</f>
      </c>
    </row>
    <row r="14" spans="1:10" x14ac:dyDescent="0.25">
      <c r="A14" t="s">
        <v>440</v>
      </c>
      <c r="B14" t="s">
        <v>441</v>
      </c>
      <c r="C14" s="39">
        <v>7</v>
      </c>
      <c r="D14" s="39">
        <v>1</v>
      </c>
      <c r="E14" s="39">
        <v>1</v>
      </c>
      <c r="F14" s="39">
        <v>1</v>
      </c>
      <c r="G14" s="21">
        <f>C14*$B$5</f>
      </c>
      <c r="H14" s="21">
        <f>G14*D14</f>
      </c>
      <c r="I14" s="21">
        <f>G14*E14</f>
      </c>
      <c r="J14" s="21">
        <f>G14*F14</f>
      </c>
    </row>
    <row r="15" spans="1:10" x14ac:dyDescent="0.25">
      <c r="A15" t="s">
        <v>442</v>
      </c>
      <c r="B15" t="s">
        <v>443</v>
      </c>
      <c r="C15" s="39">
        <v>8</v>
      </c>
      <c r="D15" s="39">
        <v>1</v>
      </c>
      <c r="E15" s="39">
        <v>2</v>
      </c>
      <c r="F15" s="39">
        <v>4</v>
      </c>
      <c r="G15" s="21">
        <f>C15*$B$5</f>
      </c>
      <c r="H15" s="21">
        <f>G15*D15</f>
      </c>
      <c r="I15" s="21">
        <f>G15*E15</f>
      </c>
      <c r="J15" s="21">
        <f>G15*F15</f>
      </c>
    </row>
    <row r="16" spans="1:10" x14ac:dyDescent="0.25">
      <c r="A16" t="s">
        <v>444</v>
      </c>
      <c r="B16" t="s">
        <v>445</v>
      </c>
      <c r="C16" s="39">
        <v>9</v>
      </c>
      <c r="D16" s="39">
        <v>1</v>
      </c>
      <c r="E16" s="39">
        <v>2</v>
      </c>
      <c r="F16" s="39">
        <v>2</v>
      </c>
      <c r="G16" s="21">
        <f>C16*$B$5</f>
      </c>
      <c r="H16" s="21">
        <f>G16*D16</f>
      </c>
      <c r="I16" s="21">
        <f>G16*E16</f>
      </c>
      <c r="J16" s="21">
        <f>G16*F16</f>
      </c>
    </row>
    <row r="17" spans="1:10" x14ac:dyDescent="0.25">
      <c r="A17" t="s">
        <v>446</v>
      </c>
      <c r="B17" t="s">
        <v>447</v>
      </c>
      <c r="C17" s="39">
        <v>15</v>
      </c>
      <c r="D17" s="39">
        <v>0</v>
      </c>
      <c r="E17" s="39">
        <v>1</v>
      </c>
      <c r="F17" s="39">
        <v>1</v>
      </c>
      <c r="G17" s="21">
        <f>C17*$B$5</f>
      </c>
      <c r="H17" s="21">
        <f>G17*D17</f>
      </c>
      <c r="I17" s="21">
        <f>G17*E17</f>
      </c>
      <c r="J17" s="21">
        <f>G17*F17</f>
      </c>
    </row>
    <row r="18" spans="1:10" x14ac:dyDescent="0.25">
      <c r="A18" t="s">
        <v>448</v>
      </c>
      <c r="B18" t="s">
        <v>449</v>
      </c>
      <c r="C18" s="39">
        <v>14</v>
      </c>
      <c r="D18" s="39">
        <v>0</v>
      </c>
      <c r="E18" s="39">
        <v>1</v>
      </c>
      <c r="F18" s="39">
        <v>1</v>
      </c>
      <c r="G18" s="21">
        <f>C18*$B$5</f>
      </c>
      <c r="H18" s="21">
        <f>G18*D18</f>
      </c>
      <c r="I18" s="21">
        <f>G18*E18</f>
      </c>
      <c r="J18" s="21">
        <f>G18*F18</f>
      </c>
    </row>
    <row r="19" spans="1:10" x14ac:dyDescent="0.25">
      <c r="A19" t="s">
        <v>450</v>
      </c>
      <c r="B19" t="s">
        <v>451</v>
      </c>
      <c r="C19" s="39">
        <v>6.5</v>
      </c>
      <c r="D19" s="39">
        <v>0</v>
      </c>
      <c r="E19" s="39">
        <v>1</v>
      </c>
      <c r="F19" s="39">
        <v>2</v>
      </c>
      <c r="G19" s="21">
        <f>C19*$B$5</f>
      </c>
      <c r="H19" s="21">
        <f>G19*D19</f>
      </c>
      <c r="I19" s="21">
        <f>G19*E19</f>
      </c>
      <c r="J19" s="21">
        <f>G19*F19</f>
      </c>
    </row>
    <row r="20" spans="1:10" x14ac:dyDescent="0.25">
      <c r="A20" t="s">
        <v>452</v>
      </c>
      <c r="B20" t="s">
        <v>453</v>
      </c>
      <c r="C20" s="39">
        <v>8</v>
      </c>
      <c r="D20" s="39">
        <v>0</v>
      </c>
      <c r="E20" s="39">
        <v>1</v>
      </c>
      <c r="F20" s="39">
        <v>2</v>
      </c>
      <c r="G20" s="21">
        <f>C20*$B$5</f>
      </c>
      <c r="H20" s="21">
        <f>G20*D20</f>
      </c>
      <c r="I20" s="21">
        <f>G20*E20</f>
      </c>
      <c r="J20" s="21">
        <f>G20*F20</f>
      </c>
    </row>
    <row r="21" spans="1:10" x14ac:dyDescent="0.25">
      <c r="A21" t="s">
        <v>454</v>
      </c>
      <c r="B21" t="s">
        <v>455</v>
      </c>
      <c r="C21" s="39">
        <v>7</v>
      </c>
      <c r="D21" s="39">
        <v>0</v>
      </c>
      <c r="E21" s="39">
        <v>1</v>
      </c>
      <c r="F21" s="39">
        <v>1</v>
      </c>
      <c r="G21" s="21">
        <f>C21*$B$5</f>
      </c>
      <c r="H21" s="21">
        <f>G21*D21</f>
      </c>
      <c r="I21" s="21">
        <f>G21*E21</f>
      </c>
      <c r="J21" s="21">
        <f>G21*F21</f>
      </c>
    </row>
    <row r="22" spans="1:10" x14ac:dyDescent="0.25">
      <c r="A22" t="s">
        <v>456</v>
      </c>
      <c r="B22" t="s">
        <v>457</v>
      </c>
      <c r="C22" s="39">
        <v>15</v>
      </c>
      <c r="D22" s="39">
        <v>0</v>
      </c>
      <c r="E22" s="39">
        <v>0</v>
      </c>
      <c r="F22" s="39">
        <v>1</v>
      </c>
      <c r="G22" s="21">
        <f>C22*$B$5</f>
      </c>
      <c r="H22" s="21">
        <f>G22*D22</f>
      </c>
      <c r="I22" s="21">
        <f>G22*E22</f>
      </c>
      <c r="J22" s="21">
        <f>G22*F22</f>
      </c>
    </row>
    <row r="23" spans="1:10" x14ac:dyDescent="0.25">
      <c r="A23" t="s">
        <v>458</v>
      </c>
      <c r="B23" t="s">
        <v>459</v>
      </c>
      <c r="C23" s="39">
        <v>16</v>
      </c>
      <c r="D23" s="39">
        <v>0</v>
      </c>
      <c r="E23" s="39">
        <v>0</v>
      </c>
      <c r="F23" s="39">
        <v>1</v>
      </c>
      <c r="G23" s="21">
        <f>C23*$B$5</f>
      </c>
      <c r="H23" s="21">
        <f>G23*D23</f>
      </c>
      <c r="I23" s="21">
        <f>G23*E23</f>
      </c>
      <c r="J23" s="21">
        <f>G23*F23</f>
      </c>
    </row>
    <row r="24" spans="1:10" x14ac:dyDescent="0.25">
      <c r="A24" t="s">
        <v>460</v>
      </c>
      <c r="B24" t="s">
        <v>461</v>
      </c>
      <c r="C24" s="39">
        <v>10</v>
      </c>
      <c r="D24" s="39">
        <v>0</v>
      </c>
      <c r="E24" s="39">
        <v>0</v>
      </c>
      <c r="F24" s="39">
        <v>1</v>
      </c>
      <c r="G24" s="21">
        <f>C24*$B$5</f>
      </c>
      <c r="H24" s="21">
        <f>G24*D24</f>
      </c>
      <c r="I24" s="21">
        <f>G24*E24</f>
      </c>
      <c r="J24" s="21">
        <f>G24*F24</f>
      </c>
    </row>
    <row r="25" spans="1:10" x14ac:dyDescent="0.25">
      <c r="A25" t="s">
        <v>462</v>
      </c>
      <c r="B25" t="s">
        <v>463</v>
      </c>
      <c r="C25" s="39">
        <v>12</v>
      </c>
      <c r="D25" s="39">
        <v>0</v>
      </c>
      <c r="E25" s="39">
        <v>0</v>
      </c>
      <c r="F25" s="39">
        <v>1</v>
      </c>
      <c r="G25" s="21">
        <f>C25*$B$5</f>
      </c>
      <c r="H25" s="21">
        <f>G25*D25</f>
      </c>
      <c r="I25" s="21">
        <f>G25*E25</f>
      </c>
      <c r="J25" s="21">
        <f>G25*F25</f>
      </c>
    </row>
    <row r="26" spans="1:10" x14ac:dyDescent="0.25">
      <c r="A26" t="s">
        <v>464</v>
      </c>
      <c r="B26" t="s">
        <v>465</v>
      </c>
      <c r="C26" s="39">
        <v>16</v>
      </c>
      <c r="D26" s="39">
        <v>0</v>
      </c>
      <c r="E26" s="39">
        <v>0</v>
      </c>
      <c r="F26" s="39">
        <v>1</v>
      </c>
      <c r="G26" s="21">
        <f>C26*$B$5</f>
      </c>
      <c r="H26" s="21">
        <f>G26*D26</f>
      </c>
      <c r="I26" s="21">
        <f>G26*E26</f>
      </c>
      <c r="J26" s="21">
        <f>G26*F26</f>
      </c>
    </row>
    <row r="27" spans="1:10" x14ac:dyDescent="0.25">
      <c r="A27" t="s">
        <v>466</v>
      </c>
      <c r="B27" t="s">
        <v>467</v>
      </c>
      <c r="D27">
        <v>3</v>
      </c>
      <c r="E27">
        <v>3</v>
      </c>
      <c r="F27">
        <v>3</v>
      </c>
      <c r="H27" s="21">
        <f>$B$8*$B$6*$B$5</f>
      </c>
      <c r="I27" s="21">
        <f>$B$8*$B$6*$B$5</f>
      </c>
      <c r="J27" s="21">
        <f>$B$8*$B$7*$B$5</f>
      </c>
    </row>
    <row r="28" spans="8:10" x14ac:dyDescent="0.25">
      <c r="H28" s="21"/>
      <c r="I28" s="21"/>
      <c r="J28" s="21"/>
    </row>
    <row r="29" spans="1:10" x14ac:dyDescent="0.25">
      <c r="A29" s="15" t="s">
        <v>468</v>
      </c>
      <c r="H29" s="21"/>
      <c r="I29" s="21"/>
      <c r="J29" s="21"/>
    </row>
    <row r="30" spans="1:10" x14ac:dyDescent="0.25">
      <c r="A30" s="18" t="s">
        <v>469</v>
      </c>
      <c r="B30" s="18"/>
      <c r="C30" s="18"/>
      <c r="D30" s="18">
        <f>SUM(D13:D26)+$B$8</f>
      </c>
      <c r="E30" s="18">
        <f>SUM(E13:E26)+$B$8</f>
      </c>
      <c r="F30" s="18">
        <f>SUM(F13:F26)+$B$8</f>
      </c>
      <c r="G30" s="18"/>
      <c r="H30" s="22"/>
      <c r="I30" s="22"/>
      <c r="J30" s="22"/>
    </row>
    <row r="31" spans="1:10" x14ac:dyDescent="0.25">
      <c r="A31" s="18" t="s">
        <v>470</v>
      </c>
      <c r="B31" s="18"/>
      <c r="C31" s="18"/>
      <c r="D31" s="18"/>
      <c r="E31" s="18"/>
      <c r="F31" s="18"/>
      <c r="G31" s="18"/>
      <c r="H31" s="22">
        <f>SUM(H13:H27)</f>
      </c>
      <c r="I31" s="22">
        <f>SUM(I13:I27)</f>
      </c>
      <c r="J31" s="22">
        <f>SUM(J13:J27)</f>
      </c>
    </row>
    <row r="33" spans="1:1" x14ac:dyDescent="0.25">
      <c r="A33" s="15" t="s">
        <v>471</v>
      </c>
    </row>
    <row r="34" spans="1:7" x14ac:dyDescent="0.25">
      <c r="A34" t="s">
        <v>472</v>
      </c>
      <c r="B34" s="17">
        <f>5*H31</f>
      </c>
      <c r="D34" t="s">
        <v>473</v>
      </c>
      <c r="E34" s="17">
        <f>36000*$B$9/1000000</f>
      </c>
      <c r="F34" t="s">
        <v>474</v>
      </c>
      <c r="G34" s="40">
        <f>B34/E34</f>
      </c>
    </row>
    <row r="35" spans="1:7" x14ac:dyDescent="0.25">
      <c r="A35" t="s">
        <v>475</v>
      </c>
      <c r="B35" s="17">
        <f>3*(H31+G17+G18)+3*(H31+G17+G18+G19+G15+G20)+6*I31</f>
      </c>
      <c r="D35" t="s">
        <v>476</v>
      </c>
      <c r="E35" s="17">
        <f>120000*$B$9/1000000</f>
      </c>
      <c r="F35" t="s">
        <v>474</v>
      </c>
      <c r="G35" s="40">
        <f>B35/E35</f>
      </c>
    </row>
    <row r="36" spans="1:7" x14ac:dyDescent="0.25">
      <c r="A36" t="s">
        <v>477</v>
      </c>
      <c r="B36" s="17">
        <f>12*J31</f>
      </c>
      <c r="D36" t="s">
        <v>478</v>
      </c>
      <c r="E36" s="17">
        <f>360000*$B$9/1000000</f>
      </c>
      <c r="F36" t="s">
        <v>474</v>
      </c>
      <c r="G36" s="40">
        <f>B36/E36</f>
      </c>
    </row>
    <row r="37" spans="1:7" x14ac:dyDescent="0.25">
      <c r="A37" t="s">
        <v>479</v>
      </c>
      <c r="B37" s="17">
        <f>B34+B35+B36</f>
      </c>
      <c r="D37" t="s">
        <v>480</v>
      </c>
      <c r="E37" s="17">
        <f>E34+E35+E36</f>
      </c>
      <c r="F37" t="s">
        <v>474</v>
      </c>
      <c r="G37" s="40">
        <f>B37/E37</f>
      </c>
    </row>
    <row r="39" spans="1:1" x14ac:dyDescent="0.25">
      <c r="A39" s="15" t="s">
        <v>481</v>
      </c>
    </row>
    <row r="40" spans="1:2" x14ac:dyDescent="0.25">
      <c r="A40" t="s">
        <v>482</v>
      </c>
      <c r="B40" s="17">
        <f>5*H31+3*(H31+G17+G18)+3*(H31+G17+G18+G19+G15+G20)+1*I31</f>
      </c>
    </row>
    <row r="41" spans="1:5" x14ac:dyDescent="0.25">
      <c r="A41" t="s">
        <v>483</v>
      </c>
      <c r="B41" s="41">
        <v>1500</v>
      </c>
      <c r="D41" t="s">
        <v>484</v>
      </c>
      <c r="E41" s="40">
        <f>B40/B41</f>
      </c>
    </row>
    <row r="43" spans="1:1" x14ac:dyDescent="0.25">
      <c r="A43" s="15" t="s">
        <v>485</v>
      </c>
    </row>
    <row r="44" spans="1:1" x14ac:dyDescent="0.25">
      <c r="A44" t="s">
        <v>486</v>
      </c>
    </row>
    <row r="45" spans="1:3" x14ac:dyDescent="0.25">
      <c r="A45" t="s">
        <v>487</v>
      </c>
      <c r="B45">
        <f>0.5*G17</f>
      </c>
      <c r="C45" t="s">
        <v>488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Ringkasan</vt:lpstr>
      <vt:lpstr>Asumsi</vt:lpstr>
      <vt:lpstr>Beban</vt:lpstr>
      <vt:lpstr>StorageR2</vt:lpstr>
      <vt:lpstr>Software</vt:lpstr>
      <vt:lpstr>Server</vt:lpstr>
      <vt:lpstr>Anggaran12Bln</vt:lpstr>
      <vt:lpstr>Pembanding</vt:lpstr>
      <vt:lpstr>OnPremise</vt:lpstr>
      <vt:lpstr>SDM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2026-07-11T12:31:09Z</dcterms:created>
  <dcterms:modified xsi:type="dcterms:W3CDTF">2026-07-11T12:31:09Z</dcterms:modified>
</cp:coreProperties>
</file>