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  <sheet sheetId="10" name="SDM" state="visible" r:id="rId13"/>
  </sheets>
  <calcPr calcId="171027"/>
</workbook>
</file>

<file path=xl/sharedStrings.xml><?xml version="1.0" encoding="utf-8"?>
<sst xmlns="http://schemas.openxmlformats.org/spreadsheetml/2006/main" count="534" uniqueCount="490">
  <si>
    <t>AdopTree World — Perhitungan Kapasitas &amp; Anggaran Infrastruktur (Staging + Production)</t>
  </si>
  <si>
    <t>Pendamping dokumen: kapasitas-sistem-staging-production.md · ringkasan-pengajuan.md — 11 Juli 2026 (rev v1.6: 18 Juli — + ArcGIS · AccuWeather · DeepSeek · AI internal)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</si>
  <si>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</si>
  <si>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</si>
  <si>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</si>
  <si>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</si>
  <si>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</si>
  <si>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</si>
  <si>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</si>
  <si>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</si>
  <si>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</si>
  <si>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</si>
  <si>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</si>
  <si>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</si>
  <si>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103 jt di sheet Anggaran12Bln (v1.6.1: termasuk ArcGIS + AccuWeather + Claude Max $200)</t>
  </si>
  <si>
    <t>PLAFON diajukan untuk persetujuan</t>
  </si>
  <si>
    <t>Rasio realisasi base terhadap alokasi infrastruktur PRD §14.4 tahun 2027 (plafon ≈ 55%)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</si>
  <si>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</si>
  <si>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</si>
  <si>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</si>
  <si>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</si>
  <si>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</si>
  <si>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</si>
  <si>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</si>
  <si>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</si>
  <si>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</si>
  <si>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</si>
  <si>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</si>
  <si>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</si>
  <si>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</si>
  <si>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</si>
  <si>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</si>
  <si>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</si>
  <si>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</si>
  <si>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</si>
  <si>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</si>
  <si>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</si>
  <si>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</si>
  <si>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</si>
  <si>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</si>
  <si>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</si>
  <si>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</si>
  <si>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</si>
  <si>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</si>
  <si>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</si>
  <si>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</si>
  <si>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</si>
  <si>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</si>
  <si>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</si>
  <si>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</si>
  <si>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</si>
  <si>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</si>
  <si>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</si>
  <si>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</si>
  <si>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</si>
  <si>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</si>
  <si>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</si>
  <si>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</si>
  <si>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</si>
  <si>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</si>
  <si>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</si>
  <si>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</si>
  <si>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</si>
  <si>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</si>
  <si>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</si>
  <si>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</si>
  <si>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</si>
  <si>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</si>
  <si>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</si>
  <si>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</si>
  <si>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</si>
  <si>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</si>
  <si>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</si>
  <si>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</si>
  <si>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</si>
  <si>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</si>
  <si>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</si>
  <si>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</si>
  <si>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</si>
  <si>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</si>
  <si>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</si>
  <si>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</si>
  <si>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</si>
  <si>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</si>
  <si>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</si>
  <si>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</si>
  <si>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</si>
  <si>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</si>
  <si>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</si>
  <si>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</si>
  <si>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</si>
  <si>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</si>
  <si>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</si>
  <si>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</si>
  <si>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</si>
  <si>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</si>
  <si>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</si>
  <si>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</si>
  <si>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</si>
  <si>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</si>
  <si>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</si>
  <si>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</si>
  <si>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</si>
  <si>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</si>
  <si>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</si>
  <si>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 (DeepSeek V4 Flash — revisi v1.6; provider lama Rp 150)</t>
  </si>
  <si>
    <t>12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</si>
  <si>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</si>
  <si>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</si>
  <si>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</si>
  <si>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</si>
  <si>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</si>
  <si>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</si>
  <si>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</si>
  <si>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</si>
  <si>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</si>
  <si>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</si>
  <si>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</si>
  <si>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</si>
  <si>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</si>
  <si>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</si>
  <si>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</si>
  <si>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</si>
  <si>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</si>
  <si>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</si>
  <si>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</si>
  <si>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</si>
  <si>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</si>
  <si>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</si>
  <si>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</si>
  <si>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</si>
  <si>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Langganan strategis (keputusan founder 18 Jul 2026 — revisi v1.6)</t>
  </si>
  <si>
    <t>Launch</t>
  </si>
  <si>
    <t>Y1</t>
  </si>
  <si>
    <t>Y2</t>
  </si>
  <si>
    <t>ARC1</t>
  </si>
  <si>
    <t>Harga ArcGIS Online Creator per user per TAHUN (USD; list $700–1.191 — A13)</t>
  </si>
  <si>
    <t>ARC2</t>
  </si>
  <si>
    <t>Jumlah seat ArcGIS per fase</t>
  </si>
  <si>
    <t>ACW</t>
  </si>
  <si>
    <t>Paket AccuWeather per bulan (USD; Standard $25, naik bila volume)</t>
  </si>
  <si>
    <t>AIENG</t>
  </si>
  <si>
    <t>AI internal engineering per bulan (USD; Claude Code Max $200 — rekomendasi CTO, 1 seat)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</si>
  <si>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</si>
  <si>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</si>
  <si>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</si>
  <si>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</si>
  <si>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</si>
  <si>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</si>
  <si>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</si>
  <si>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</si>
  <si>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</si>
  <si>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</si>
  <si>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</si>
  <si>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</si>
  <si>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</si>
  <si>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</si>
  <si>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</si>
  <si>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</si>
  <si>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</si>
  <si>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</si>
  <si>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</si>
  <si>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</si>
  <si>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</si>
  <si>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</si>
  <si>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</si>
  <si>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</si>
  <si>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</si>
  <si>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</si>
  <si>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</si>
  <si>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</si>
  <si>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</si>
  <si>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</si>
  <si>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</si>
  <si>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</si>
  <si>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</si>
  <si>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</si>
  <si>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</si>
  <si>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</si>
  <si>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</si>
  <si>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</si>
  <si>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</si>
  <si>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</si>
  <si>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</si>
  <si>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</si>
  <si>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</si>
  <si>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</si>
  <si>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</si>
  <si>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</si>
  <si>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</si>
  <si>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</si>
  <si>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</si>
  <si>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</si>
  <si>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</si>
  <si>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</si>
  <si>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</si>
  <si>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</si>
  <si>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</si>
  <si>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</si>
  <si>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</si>
  <si>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</si>
  <si>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</si>
  <si>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</si>
  <si>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</si>
  <si>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</si>
  <si>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</si>
  <si>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</si>
  <si>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</si>
  <si>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</si>
  <si>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</si>
  <si>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</si>
  <si>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</si>
  <si>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</si>
  <si>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</si>
  <si>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</si>
  <si>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</si>
  <si>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</si>
  <si>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</si>
  <si>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</si>
  <si>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</si>
  <si>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</si>
  <si>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</si>
  <si>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</si>
  <si>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</si>
  <si>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komersial — DeepSeek API (multi-provider, switch runtime)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</si>
  <si>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</si>
  <si>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</si>
  <si>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</si>
  <si>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</si>
  <si>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</si>
  <si>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</si>
  <si>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</si>
  <si>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</si>
  <si>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</si>
  <si>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</si>
  <si>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</si>
  <si>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</si>
  <si>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</si>
  <si>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</si>
  <si>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</si>
  <si>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</si>
  <si>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</si>
  <si>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</si>
  <si>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</si>
  <si>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</si>
  <si>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</si>
  <si>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</si>
  <si>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 + langganan strategis (baris 22–24)</t>
  </si>
  <si>
    <t>v1.6: termasuk ArcGIS + AccuWeather + AI internal; Tira = DeepSeek</t>
  </si>
  <si>
    <t>Metrik volume (dasar formula di atas)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</si>
  <si>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</si>
  <si>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</si>
  <si>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</si>
  <si>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</si>
  <si>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</si>
  <si>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Langganan strategis (keputusan founder 18 Jul 2026 — v1.6; masuk SUBTOTAL baris 15)</t>
  </si>
  <si>
    <t>ArcGIS Online (Esri) — analisis GIS profesional &amp; peta MRV</t>
  </si>
  <si>
    <t>ARC1 × seat ÷ 12 × KURS (dibayar tahunan di muka)</t>
  </si>
  <si>
    <t>Creator $700–1.191/user/th; minta penawaran Esri Indonesia saat pengadaan (A13)</t>
  </si>
  <si>
    <t>AccuWeather API — cuaca per lahan</t>
  </si>
  <si>
    <t>ACW × KURS (cache server-side per lahan/jam menekan volume)</t>
  </si>
  <si>
    <t>Trial gratis → Standard $25 (225 rb calls) → Elite $500</t>
  </si>
  <si>
    <t>AI internal engineering — Claude Code Max $200/bln (rekomendasi CTO)</t>
  </si>
  <si>
    <t>AIENG × KURS</t>
  </si>
  <si>
    <t>khusus internal engineering (komersial = DeepSeek, baris 7)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</si>
  <si>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</si>
  <si>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</si>
  <si>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</si>
  <si>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</si>
  <si>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</si>
  <si>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</si>
  <si>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</si>
  <si>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</si>
  <si>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</si>
  <si>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</si>
  <si>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</si>
  <si>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</si>
  <si>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</si>
  <si>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</si>
  <si>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</si>
  <si>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Total server per fase (titik tengah)</t>
  </si>
  <si>
    <t>Komposisi</t>
  </si>
  <si>
    <t>Rp/bln</t>
  </si>
  <si>
    <t>Staging + Production Tier 1</t>
  </si>
  <si>
    <t>Staging + Production Tier 2</t>
  </si>
  <si>
    <t>Staging (upgrade) + Production Tier 3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</si>
  <si>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</si>
  <si>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</si>
  <si>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</si>
  <si>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</si>
  <si>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</si>
  <si>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</si>
  <si>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</si>
  <si>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software, 5 bulan (Agu–Des 2026)</t>
  </si>
  <si>
    <t>5 × (Prod Tier 1 + subtotal software Launch)</t>
  </si>
  <si>
    <t>Production Growth Y1 + software, 7 bulan (Jan–Jul 2027)</t>
  </si>
  <si>
    <t>7 × (Prod Tier 2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</si>
  <si>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</si>
  <si>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</si>
  <si>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</si>
  <si>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</si>
  <si>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</si>
  <si>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</si>
  <si>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</si>
  <si>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</si>
  <si>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</si>
  <si>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</si>
  <si>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105000000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</si>
  <si>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</si>
  <si>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</si>
  <si>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</si>
  <si>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</si>
  <si>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</si>
  <si>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</si>
  <si>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</si>
  <si>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</si>
  <si>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</si>
  <si>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</si>
  <si>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</si>
  <si>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</si>
  <si>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</si>
  <si>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</si>
  <si>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</si>
  <si>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</si>
  <si>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</si>
  <si>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</si>
  <si>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</si>
  <si>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</si>
  <si>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</si>
  <si>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</si>
  <si>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</si>
  <si>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</si>
  <si>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</si>
  <si>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</si>
  <si>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</si>
  <si>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</si>
  <si>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</si>
  <si>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</si>
  <si>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</si>
  <si>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</si>
  <si>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</si>
  <si>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</si>
  <si>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</si>
  <si>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</si>
  <si>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</si>
  <si>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</si>
  <si>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</si>
  <si>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</si>
  <si>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</si>
  <si>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</si>
  <si>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</si>
  <si>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</si>
  <si>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</si>
  <si>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</si>
  <si>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</si>
  <si>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</si>
  <si>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</si>
  <si>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</si>
  <si>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</si>
  <si>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</si>
  <si>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</si>
  <si>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</si>
  <si>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</si>
  <si>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</si>
  <si>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</si>
  <si>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</si>
  <si>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</si>
  <si>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</si>
  <si>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</si>
  <si>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</si>
  <si>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</si>
  <si>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</si>
  <si>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</si>
  <si>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</si>
  <si>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</si>
  <si>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</si>
  <si>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</si>
  <si>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</si>
  <si>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</si>
  <si>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</si>
  <si>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</si>
  <si>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</si>
  <si>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</si>
  <si>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</si>
  <si>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</si>
  <si>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</si>
  <si>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</si>
  <si>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</si>
  <si>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</si>
  <si>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</si>
  <si>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</si>
  <si>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</si>
  <si>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</si>
  <si>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</si>
  <si>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</si>
  <si>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</si>
  <si>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</si>
  <si>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</si>
  <si>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</si>
  <si>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</si>
  <si>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</si>
  <si>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</si>
  <si>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</si>
  <si>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</si>
  <si>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97 jt (v1.6.1 — termasuk langganan strategis)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</si>
  <si>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</si>
  <si>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</si>
  <si>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</si>
  <si>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</si>
  <si>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</si>
  <si>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bertahap; 4 bln parallel-run termasuk langganan strategis yang tetap berjalan</t>
  </si>
  <si>
    <t>TOTAL 3 TAHUN</t>
  </si>
  <si>
    <t>jumlah</t>
  </si>
  <si>
    <t>≈ Rp 855 jt (v1.6.1) — ≈104% alokasi PRD: lihat disclosure §10.5 dokumen</t>
  </si>
  <si>
    <t>Tahun 4+ (steady on-premise)</t>
  </si>
  <si>
    <t>OpEx + amortisasi × 12</t>
  </si>
  <si>
    <t>termasuk langganan strategis (Software!E22:E24) yang tetap berjalan on-premise; vs tetap cloud &gt; Rp 320–380 jt/th → hemat mulai th-4</t>
  </si>
  <si>
    <t>Alokasi infra PRD §14.4 tiga tahun</t>
  </si>
  <si>
    <t>($3.600+$12.000+$36.000) × KURS</t>
  </si>
  <si>
    <t>Rasio plot vs alokasi PRD</t>
  </si>
  <si>
    <t>total 3 th ÷ alokasi</t>
  </si>
  <si>
    <t>SDM / MANPOWER — model biaya (pasangan: anggaran-sdm-manpower.md, v1.0 · 17 Jul 2026)</t>
  </si>
  <si>
    <t>Sel KUNING = asumsi, boleh diganti — seluruh angka menghitung ulang. Semua nilai dalam Rp juta. Loaded = gaji × faktor beban.</t>
  </si>
  <si>
    <t>ASUMSI</t>
  </si>
  <si>
    <t>Faktor beban pemberi kerja (BPJS 10,24% + THR 8,33% + cadangan)</t>
  </si>
  <si>
    <t>Stipend founder/bln — fase Launch &amp; Growth (Rp jt)</t>
  </si>
  <si>
    <t>Stipend founder/bln — fase Scale 2028 (Rp jt)</t>
  </si>
  <si>
    <t>Jumlah founder</t>
  </si>
  <si>
    <t>Kurs USD (uji kewajaran vs PRD §14.4)</t>
  </si>
  <si>
    <t>ROSTER (jumlah orang per fase; gaji = asumsi pasar 2026 mid-level remote-first)</t>
  </si>
  <si>
    <t>Peran</t>
  </si>
  <si>
    <t>Gaji/bln</t>
  </si>
  <si>
    <t>Jml Launch</t>
  </si>
  <si>
    <t>Jml 2027</t>
  </si>
  <si>
    <t>Jml 2028</t>
  </si>
  <si>
    <t>Loaded satuan</t>
  </si>
  <si>
    <t>Biaya/bln Launch</t>
  </si>
  <si>
    <t>Biaya/bln 2027</t>
  </si>
  <si>
    <t>Biaya/bln 2028</t>
  </si>
  <si>
    <t>L1</t>
  </si>
  <si>
    <t>Fullstack Engineer (mid)</t>
  </si>
  <si>
    <t>L2</t>
  </si>
  <si>
    <t>Ops &amp; Support Admin</t>
  </si>
  <si>
    <t>L3</t>
  </si>
  <si>
    <t>Koordinator Operasi Lapangan</t>
  </si>
  <si>
    <t>L4</t>
  </si>
  <si>
    <t>BD / Merchant Onboarding</t>
  </si>
  <si>
    <t>G1</t>
  </si>
  <si>
    <t>DevOps/SRE Engineer (persiapan on-premise §7)</t>
  </si>
  <si>
    <t>G2</t>
  </si>
  <si>
    <t>Mobile Engineer (Flutter)</t>
  </si>
  <si>
    <t>G3</t>
  </si>
  <si>
    <t>Customer Support</t>
  </si>
  <si>
    <t>G5</t>
  </si>
  <si>
    <t>Finance &amp; Admin</t>
  </si>
  <si>
    <t>G7</t>
  </si>
  <si>
    <t>Content &amp; Community</t>
  </si>
  <si>
    <t>S1</t>
  </si>
  <si>
    <t>Infra/Platform Engineer #2 (rotasi on-call on-premise)</t>
  </si>
  <si>
    <t>S2</t>
  </si>
  <si>
    <t>Backend Engineer</t>
  </si>
  <si>
    <t>S3</t>
  </si>
  <si>
    <t>QA Engineer</t>
  </si>
  <si>
    <t>S4</t>
  </si>
  <si>
    <t>Corporate Account Manager (ESG B2B)</t>
  </si>
  <si>
    <t>S7</t>
  </si>
  <si>
    <t>Data/ML Engineer (opsional — trigger registri karbon)</t>
  </si>
  <si>
    <t>FND</t>
  </si>
  <si>
    <t>Stipend 3 founder (Launch/Growth vs Scale)</t>
  </si>
  <si>
    <t>TOTAL</t>
  </si>
  <si>
    <t>Headcount total (termasuk founder)</t>
  </si>
  <si>
    <t>Biaya SDM/bln (Rp jt, loaded)</t>
  </si>
  <si>
    <t>REKAP TAHUNAN &amp; UJI KEWAJARAN (Rp jt)</t>
  </si>
  <si>
    <t>2026 (Agu–Des, 5 bln roster Launch)</t>
  </si>
  <si>
    <t>Alokasi Team PRD 2026 ($36.000)</t>
  </si>
  <si>
    <t>% terpakai</t>
  </si>
  <si>
    <t>2027 (bertahap: 3 bln awal + 3 bln tengah + 6 bln penuh — lihat §4 dokumen)</t>
  </si>
  <si>
    <t>Alokasi Team PRD 2027 ($120.000)</t>
  </si>
  <si>
    <t>2028 (12 bln roster Scale — S7 opsional termasuk)</t>
  </si>
  <si>
    <t>Alokasi Team PRD 2028 ($360.000)</t>
  </si>
  <si>
    <t>Total 3 tahun (kalender)</t>
  </si>
  <si>
    <t>Total alokasi 3 th</t>
  </si>
  <si>
    <t>PLAFON 12 BULAN PERTAMA (Agu 2026 – Jul 2027)</t>
  </si>
  <si>
    <t>Realisasi proyeksi (5 bln Launch + 7 bln 2027 bertahap)</t>
  </si>
  <si>
    <t>Plafon diajukan (buffer ≈10%)</t>
  </si>
  <si>
    <t>→ realisasi/plafon</t>
  </si>
  <si>
    <t>CATATAN ON-PREMISE (selaras §10.2 dok. infrastruktur &amp; §7 dok. SDM)</t>
  </si>
  <si>
    <t>Pos "SDM on-call ±0,5 FTE Rp 5–8 jt/bln" pada OpEx on-premise = porsi 0,5 FTE dari G1+S1 di sheet ini — hitung SEKALI saat konsolidasi (tidak ada pos ganda).</t>
  </si>
  <si>
    <t>Cek: 0,5 × loaded G1</t>
  </si>
  <si>
    <t>berada dalam rentang 5–8 jt? (§10.2)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</si>
</sst>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11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b/>
      <color theme="1"/>
      <family val="2"/>
      <scheme val="minor"/>
      <sz val="11"/>
      <name val="Calibri"/>
    </font>
    <font>
      <i/>
    </font>
    <font>
      <b/>
      <sz val="12"/>
    </font>
    <font>
      <b/>
      <color rgb="FFFFFFFF"/>
      <sz val="12"/>
    </font>
    <font>
      <b/>
      <sz val="13"/>
    </font>
  </fonts>
  <fills count="9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FFF2AC"/>
      </patternFill>
    </fill>
    <fill>
      <patternFill patternType="solid">
        <fgColor rgb="FFD9D9D9"/>
      </patternFill>
    </fill>
    <fill>
      <patternFill patternType="solid">
        <fgColor rgb="FFE8F0E8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6" fillId="6" borderId="2" xfId="0" applyFont="1" applyFill="1" applyBorder="1"/>
    <xf numFmtId="3" fontId="0" fillId="7" borderId="0" xfId="0" applyNumberFormat="1" applyFill="1"/>
    <xf numFmtId="0" fontId="3" fillId="8" borderId="0" xfId="0" applyFont="1" applyFill="1"/>
    <xf numFmtId="0" fontId="3" fillId="6" borderId="0" xfId="0" applyFon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7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7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8" fillId="2" borderId="0" xfId="0" applyFont="1" applyFill="1"/>
    <xf numFmtId="164" fontId="8" fillId="2" borderId="0" xfId="0" applyNumberFormat="1" applyFont="1" applyFill="1"/>
    <xf numFmtId="0" fontId="9" fillId="4" borderId="0" xfId="0" applyFont="1" applyFill="1"/>
    <xf numFmtId="164" fontId="9" fillId="4" borderId="0" xfId="0" applyNumberFormat="1" applyFont="1" applyFill="1"/>
    <xf numFmtId="0" fontId="0" fillId="5" borderId="0" xfId="0" applyFill="1"/>
    <xf numFmtId="0" fontId="10" fillId="0" borderId="0" xfId="0" applyFont="1"/>
    <xf numFmtId="0" fontId="3" fillId="0" borderId="1" xfId="0" applyFont="1" applyBorder="1"/>
    <xf numFmtId="0" fontId="0" fillId="6" borderId="0" xfId="0" applyFill="1"/>
    <xf numFmtId="9" fontId="0" fillId="0" borderId="0" xfId="0" applyNumberFormat="1"/>
    <xf numFmtId="3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 t="s">
        <v>106</v>
      </c>
      <c r="D29" t="s">
        <v>107</v>
      </c>
      <c r="E29" t="s">
        <v>108</v>
      </c>
    </row>
    <row r="30" spans="1:5" x14ac:dyDescent="0.25">
      <c r="A30" t="s">
        <v>109</v>
      </c>
      <c r="B30" t="s">
        <v>110</v>
      </c>
      <c r="C30" s="12">
        <v>0.5</v>
      </c>
      <c r="D30" t="s">
        <v>31</v>
      </c>
      <c r="E30" t="s">
        <v>111</v>
      </c>
    </row>
    <row r="31" spans="1:5" x14ac:dyDescent="0.25">
      <c r="A31" t="s">
        <v>112</v>
      </c>
      <c r="B31" t="s">
        <v>113</v>
      </c>
      <c r="C31" s="13">
        <v>2</v>
      </c>
      <c r="D31" t="s">
        <v>42</v>
      </c>
      <c r="E31" t="s">
        <v>114</v>
      </c>
    </row>
    <row r="33" spans="1:5" x14ac:dyDescent="0.25">
      <c r="A33" s="3" t="s">
        <v>115</v>
      </c>
      <c r="B33" s="3"/>
      <c r="C33" s="3" t="s">
        <v>116</v>
      </c>
      <c r="D33" s="3" t="s">
        <v>117</v>
      </c>
      <c r="E33" s="3" t="s">
        <v>118</v>
      </c>
    </row>
    <row r="34" spans="1:5" x14ac:dyDescent="0.25">
      <c r="A34" t="s">
        <v>119</v>
      </c>
      <c r="B34" t="s">
        <v>120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121</v>
      </c>
      <c r="B35" t="s">
        <v>122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123</v>
      </c>
      <c r="B36" t="s">
        <v>124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125</v>
      </c>
      <c r="B37" t="s">
        <v>126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127</v>
      </c>
      <c r="B38" t="s">
        <v>128</v>
      </c>
      <c r="C38" s="11">
        <v>45</v>
      </c>
      <c r="D38" s="11">
        <v>90</v>
      </c>
      <c r="E38" s="11">
        <v>130</v>
      </c>
    </row>
    <row r="39" spans="1:5" x14ac:dyDescent="0.25">
      <c r="A39" t="s">
        <v>129</v>
      </c>
      <c r="B39" t="s">
        <v>130</v>
      </c>
      <c r="C39" s="11">
        <v>1</v>
      </c>
      <c r="D39" s="11">
        <v>15</v>
      </c>
      <c r="E39" s="11">
        <v>80</v>
      </c>
    </row>
    <row r="41" spans="1:5" x14ac:dyDescent="0.25">
      <c r="A41" s="15" t="s">
        <v>131</v>
      </c>
      <c r="C41" t="s">
        <v>132</v>
      </c>
      <c r="D41" t="s">
        <v>133</v>
      </c>
      <c r="E41" t="s">
        <v>134</v>
      </c>
    </row>
    <row r="42" spans="1:5" x14ac:dyDescent="0.25">
      <c r="A42" t="s">
        <v>135</v>
      </c>
      <c r="B42" t="s">
        <v>136</v>
      </c>
      <c r="C42" s="16">
        <v>1000</v>
      </c>
      <c r="D42" s="16">
        <v>1000</v>
      </c>
      <c r="E42" s="16">
        <v>1000</v>
      </c>
    </row>
    <row r="43" spans="1:5" x14ac:dyDescent="0.25">
      <c r="A43" t="s">
        <v>137</v>
      </c>
      <c r="B43" t="s">
        <v>138</v>
      </c>
      <c r="C43" s="16">
        <v>1</v>
      </c>
      <c r="D43" s="16">
        <v>1</v>
      </c>
      <c r="E43" s="16">
        <v>2</v>
      </c>
    </row>
    <row r="44" spans="1:5" x14ac:dyDescent="0.25">
      <c r="A44" t="s">
        <v>139</v>
      </c>
      <c r="B44" t="s">
        <v>140</v>
      </c>
      <c r="C44" s="16">
        <v>25</v>
      </c>
      <c r="D44" s="16">
        <v>25</v>
      </c>
      <c r="E44" s="16">
        <v>50</v>
      </c>
    </row>
    <row r="45" spans="1:5" x14ac:dyDescent="0.25">
      <c r="A45" t="s">
        <v>141</v>
      </c>
      <c r="B45" t="s">
        <v>142</v>
      </c>
      <c r="C45" s="16">
        <v>200</v>
      </c>
      <c r="D45" s="16">
        <v>200</v>
      </c>
      <c r="E45" s="1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143</v>
      </c>
      <c r="B1" s="10"/>
      <c r="C1" s="10"/>
      <c r="D1" s="10"/>
      <c r="E1" s="10"/>
    </row>
    <row r="3" spans="1:5" x14ac:dyDescent="0.25">
      <c r="A3" s="3" t="s">
        <v>144</v>
      </c>
      <c r="B3" s="3" t="s">
        <v>145</v>
      </c>
      <c r="C3" s="3" t="s">
        <v>116</v>
      </c>
      <c r="D3" s="3" t="s">
        <v>117</v>
      </c>
      <c r="E3" s="3" t="s">
        <v>118</v>
      </c>
    </row>
    <row r="4" spans="1:5" x14ac:dyDescent="0.25">
      <c r="A4" t="s">
        <v>120</v>
      </c>
      <c r="B4" t="s">
        <v>146</v>
      </c>
      <c r="C4" s="17">
        <f>Asumsi!C34</f>
      </c>
      <c r="D4" s="17">
        <f>Asumsi!D34</f>
      </c>
      <c r="E4" s="17">
        <f>Asumsi!E34</f>
      </c>
    </row>
    <row r="5" spans="1:5" x14ac:dyDescent="0.25">
      <c r="A5" t="s">
        <v>147</v>
      </c>
      <c r="B5" t="s">
        <v>148</v>
      </c>
      <c r="C5" s="17">
        <f>C4*Asumsi!$C$5</f>
      </c>
      <c r="D5" s="17">
        <f>D4*Asumsi!$C$5</f>
      </c>
      <c r="E5" s="17">
        <f>E4*Asumsi!$C$5</f>
      </c>
    </row>
    <row r="6" spans="1:5" x14ac:dyDescent="0.25">
      <c r="A6" t="s">
        <v>149</v>
      </c>
      <c r="B6" t="s">
        <v>150</v>
      </c>
      <c r="C6" s="17">
        <f>C5*Asumsi!$C$6</f>
      </c>
      <c r="D6" s="17">
        <f>D5*Asumsi!$C$6</f>
      </c>
      <c r="E6" s="17">
        <f>E5*Asumsi!$C$6</f>
      </c>
    </row>
    <row r="7" spans="1:5" x14ac:dyDescent="0.25">
      <c r="A7" t="s">
        <v>151</v>
      </c>
      <c r="B7" t="s">
        <v>152</v>
      </c>
      <c r="C7" s="17">
        <f>C6*Asumsi!$C$7</f>
      </c>
      <c r="D7" s="17">
        <f>D6*Asumsi!$C$7</f>
      </c>
      <c r="E7" s="17">
        <f>E6*Asumsi!$C$7</f>
      </c>
    </row>
    <row r="8" spans="1:5" x14ac:dyDescent="0.25">
      <c r="A8" s="18" t="s">
        <v>153</v>
      </c>
      <c r="B8" s="18" t="s">
        <v>154</v>
      </c>
      <c r="C8" s="19">
        <f>C7*Asumsi!$C$8</f>
      </c>
      <c r="D8" s="19">
        <f>D7*Asumsi!$C$8</f>
      </c>
      <c r="E8" s="19">
        <f>E7*Asumsi!$C$8</f>
      </c>
    </row>
    <row r="10" spans="1:5" x14ac:dyDescent="0.25">
      <c r="A10" s="6" t="s">
        <v>155</v>
      </c>
      <c r="B10" s="6"/>
      <c r="C10" s="6"/>
      <c r="D10" s="6"/>
      <c r="E10" s="6"/>
    </row>
    <row r="11" spans="1:5" x14ac:dyDescent="0.25">
      <c r="A11" s="18" t="s">
        <v>156</v>
      </c>
      <c r="B11" s="18" t="s">
        <v>157</v>
      </c>
      <c r="C11" s="18" t="s">
        <v>158</v>
      </c>
      <c r="D11" s="18"/>
      <c r="E11" s="18"/>
    </row>
    <row r="12" spans="1:3" x14ac:dyDescent="0.25">
      <c r="A12" t="s">
        <v>159</v>
      </c>
      <c r="B12" t="s">
        <v>160</v>
      </c>
      <c r="C12" t="s">
        <v>161</v>
      </c>
    </row>
    <row r="13" spans="1:3" x14ac:dyDescent="0.25">
      <c r="A13" t="s">
        <v>162</v>
      </c>
      <c r="B13" t="s">
        <v>163</v>
      </c>
      <c r="C13" t="s">
        <v>164</v>
      </c>
    </row>
    <row r="14" spans="1:3" x14ac:dyDescent="0.25">
      <c r="A14" t="s">
        <v>165</v>
      </c>
      <c r="B14" t="s">
        <v>166</v>
      </c>
      <c r="C14" t="s">
        <v>167</v>
      </c>
    </row>
    <row r="15" spans="1:3" x14ac:dyDescent="0.25">
      <c r="A15" t="s">
        <v>168</v>
      </c>
      <c r="B15" t="s">
        <v>169</v>
      </c>
      <c r="C15" t="s">
        <v>170</v>
      </c>
    </row>
    <row r="16" spans="1:3" x14ac:dyDescent="0.25">
      <c r="A16" t="s">
        <v>171</v>
      </c>
      <c r="B16" t="s">
        <v>172</v>
      </c>
      <c r="C16" t="s">
        <v>173</v>
      </c>
    </row>
    <row r="17" spans="1:3" x14ac:dyDescent="0.25">
      <c r="A17" t="s">
        <v>174</v>
      </c>
      <c r="B17" t="s">
        <v>175</v>
      </c>
      <c r="C17" t="s">
        <v>176</v>
      </c>
    </row>
    <row r="19" spans="1:1" x14ac:dyDescent="0.25">
      <c r="A19" s="20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178</v>
      </c>
      <c r="B1" s="10"/>
      <c r="C1" s="10"/>
      <c r="D1" s="10"/>
      <c r="E1" s="10"/>
    </row>
    <row r="3" spans="1:5" x14ac:dyDescent="0.25">
      <c r="A3" s="3" t="s">
        <v>179</v>
      </c>
      <c r="B3" s="3" t="s">
        <v>145</v>
      </c>
      <c r="C3" s="3" t="s">
        <v>180</v>
      </c>
      <c r="D3" s="3" t="s">
        <v>181</v>
      </c>
      <c r="E3" s="3" t="s">
        <v>182</v>
      </c>
    </row>
    <row r="4" spans="1:5" x14ac:dyDescent="0.25">
      <c r="A4" t="s">
        <v>183</v>
      </c>
      <c r="B4" t="s">
        <v>184</v>
      </c>
      <c r="C4" s="21">
        <f>Asumsi!C35*Asumsi!$C$11*Asumsi!$C$10/1024</f>
      </c>
      <c r="D4" s="21">
        <f>Asumsi!D35*Asumsi!$C$11*Asumsi!$C$10/1024</f>
      </c>
      <c r="E4" s="21">
        <f>Asumsi!E35*Asumsi!$C$11*Asumsi!$C$10/1024</f>
      </c>
    </row>
    <row r="5" spans="1:5" x14ac:dyDescent="0.25">
      <c r="A5" t="s">
        <v>185</v>
      </c>
      <c r="B5" t="s">
        <v>186</v>
      </c>
      <c r="C5" s="21">
        <f>Asumsi!C37*Asumsi!$C$13*Asumsi!$C$12/1024</f>
      </c>
      <c r="D5" s="21">
        <f>Asumsi!D37*Asumsi!$C$13*Asumsi!$C$12/1024</f>
      </c>
      <c r="E5" s="21">
        <f>Asumsi!E37*Asumsi!$C$13*Asumsi!$C$12/1024</f>
      </c>
    </row>
    <row r="6" spans="1:5" x14ac:dyDescent="0.25">
      <c r="A6" t="s">
        <v>187</v>
      </c>
      <c r="B6" t="s">
        <v>188</v>
      </c>
      <c r="C6" s="21">
        <f>Asumsi!C35*Asumsi!$C$15*Asumsi!$C$14/1024</f>
      </c>
      <c r="D6" s="21">
        <f>Asumsi!D35*Asumsi!$C$15*Asumsi!$C$14/1024</f>
      </c>
      <c r="E6" s="21">
        <f>Asumsi!E35*Asumsi!$C$15*Asumsi!$C$14/1024</f>
      </c>
    </row>
    <row r="7" spans="1:5" x14ac:dyDescent="0.25">
      <c r="A7" t="s">
        <v>189</v>
      </c>
      <c r="B7" t="s">
        <v>190</v>
      </c>
      <c r="C7" s="21">
        <f>Asumsi!C36*Asumsi!$C$16</f>
      </c>
      <c r="D7" s="21">
        <f>Asumsi!D36*Asumsi!$C$16</f>
      </c>
      <c r="E7" s="21">
        <f>Asumsi!E36*Asumsi!$C$16</f>
      </c>
    </row>
    <row r="8" spans="1:5" x14ac:dyDescent="0.25">
      <c r="A8" t="s">
        <v>191</v>
      </c>
      <c r="B8" t="s">
        <v>192</v>
      </c>
      <c r="C8" s="21">
        <f>Asumsi!C35*Asumsi!$C$17/1024</f>
      </c>
      <c r="D8" s="21">
        <f>Asumsi!D35*Asumsi!$C$17/1024</f>
      </c>
      <c r="E8" s="21">
        <f>Asumsi!E35*Asumsi!$C$17/1024</f>
      </c>
    </row>
    <row r="9" spans="1:5" x14ac:dyDescent="0.25">
      <c r="A9" t="s">
        <v>193</v>
      </c>
      <c r="B9" t="s">
        <v>194</v>
      </c>
      <c r="C9" s="21">
        <f>Asumsi!C38*117/1024</f>
      </c>
      <c r="D9" s="21">
        <f>Asumsi!D38*117/1024</f>
      </c>
      <c r="E9" s="21">
        <f>Asumsi!E38*117/1024</f>
      </c>
    </row>
    <row r="10" spans="1:5" x14ac:dyDescent="0.25">
      <c r="A10" t="s">
        <v>195</v>
      </c>
      <c r="B10" t="s">
        <v>196</v>
      </c>
      <c r="C10" s="21">
        <f>Asumsi!C39*Asumsi!$C$31</f>
      </c>
      <c r="D10" s="21">
        <f>Asumsi!D39*Asumsi!$C$31</f>
      </c>
      <c r="E10" s="21">
        <f>Asumsi!E39*Asumsi!$C$31</f>
      </c>
    </row>
    <row r="11" spans="1:5" x14ac:dyDescent="0.25">
      <c r="A11" s="18" t="s">
        <v>197</v>
      </c>
      <c r="B11" s="18" t="s">
        <v>198</v>
      </c>
      <c r="C11" s="22">
        <f>SUM(C4:C10)</f>
      </c>
      <c r="D11" s="22">
        <f>SUM(D4:D10)</f>
      </c>
      <c r="E11" s="22">
        <f>SUM(E4:E10)</f>
      </c>
    </row>
    <row r="12" spans="1:5" x14ac:dyDescent="0.25">
      <c r="A12" s="18" t="s">
        <v>199</v>
      </c>
      <c r="B12" s="18" t="s">
        <v>200</v>
      </c>
      <c r="C12" s="22">
        <f>C11*Asumsi!$C$30</f>
      </c>
      <c r="D12" s="22">
        <f>D11*Asumsi!$C$30</f>
      </c>
      <c r="E12" s="22">
        <f>E11*Asumsi!$C$30</f>
      </c>
    </row>
    <row r="13" spans="1:5" x14ac:dyDescent="0.25">
      <c r="A13" s="18" t="s">
        <v>201</v>
      </c>
      <c r="B13" s="18" t="s">
        <v>202</v>
      </c>
      <c r="C13" s="22">
        <f>C11+C12</f>
      </c>
      <c r="D13" s="22">
        <f>D11+D12</f>
      </c>
      <c r="E13" s="22">
        <f>E11+E12</f>
      </c>
    </row>
    <row r="14" spans="1:5" x14ac:dyDescent="0.25">
      <c r="A14" t="s">
        <v>203</v>
      </c>
      <c r="B14" t="s">
        <v>204</v>
      </c>
      <c r="C14" s="23">
        <f>C13*Asumsi!$C$18</f>
      </c>
      <c r="D14" s="23">
        <f>D13*Asumsi!$C$18</f>
      </c>
      <c r="E14" s="23">
        <f>E13*Asumsi!$C$18</f>
      </c>
    </row>
    <row r="15" spans="1:5" x14ac:dyDescent="0.25">
      <c r="A15" t="s">
        <v>205</v>
      </c>
      <c r="B15" t="s">
        <v>206</v>
      </c>
      <c r="C15" s="24">
        <f>C14*Asumsi!$C$4</f>
      </c>
      <c r="D15" s="24">
        <f>D14*Asumsi!$C$4</f>
      </c>
      <c r="E15" s="24">
        <f>E14*Asumsi!$C$4</f>
      </c>
    </row>
    <row r="17" spans="1:5" x14ac:dyDescent="0.25">
      <c r="A17" s="20" t="s">
        <v>207</v>
      </c>
      <c r="B17" t="s">
        <v>208</v>
      </c>
      <c r="C17" s="25">
        <f>C15*5</f>
      </c>
      <c r="D17" s="25">
        <f>D15*5</f>
      </c>
      <c r="E17" s="25">
        <f>E15*5</f>
      </c>
    </row>
    <row r="18" spans="1:1" x14ac:dyDescent="0.25">
      <c r="A18" t="s">
        <v>209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210</v>
      </c>
      <c r="B1" s="10"/>
      <c r="C1" s="10"/>
      <c r="D1" s="10"/>
      <c r="E1" s="10"/>
      <c r="F1" s="10"/>
    </row>
    <row r="3" spans="1:6" x14ac:dyDescent="0.25">
      <c r="A3" s="3" t="s">
        <v>211</v>
      </c>
      <c r="B3" s="3" t="s">
        <v>212</v>
      </c>
      <c r="C3" s="3" t="s">
        <v>213</v>
      </c>
      <c r="D3" s="3" t="s">
        <v>214</v>
      </c>
      <c r="E3" s="3" t="s">
        <v>215</v>
      </c>
      <c r="F3" s="3" t="s">
        <v>158</v>
      </c>
    </row>
    <row r="4" spans="1:6" x14ac:dyDescent="0.25">
      <c r="A4" t="s">
        <v>216</v>
      </c>
      <c r="B4" t="s">
        <v>217</v>
      </c>
      <c r="C4" s="4">
        <v>0</v>
      </c>
      <c r="D4" s="4">
        <f>20*Asumsi!$C$4</f>
      </c>
      <c r="E4" s="4">
        <f>20*Asumsi!$C$4</f>
      </c>
      <c r="F4" t="s">
        <v>218</v>
      </c>
    </row>
    <row r="5" spans="1:6" x14ac:dyDescent="0.25">
      <c r="A5" t="s">
        <v>219</v>
      </c>
      <c r="B5" t="s">
        <v>220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221</v>
      </c>
      <c r="B6" t="s">
        <v>222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223</v>
      </c>
    </row>
    <row r="7" spans="1:6" x14ac:dyDescent="0.25">
      <c r="A7" t="s">
        <v>224</v>
      </c>
      <c r="B7" t="s">
        <v>225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226</v>
      </c>
    </row>
    <row r="8" spans="1:6" x14ac:dyDescent="0.25">
      <c r="A8" t="s">
        <v>227</v>
      </c>
      <c r="B8" t="s">
        <v>228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229</v>
      </c>
    </row>
    <row r="9" spans="1:6" x14ac:dyDescent="0.25">
      <c r="A9" t="s">
        <v>230</v>
      </c>
      <c r="B9" t="s">
        <v>231</v>
      </c>
      <c r="C9" s="4">
        <v>0</v>
      </c>
      <c r="D9" s="4">
        <f>26*Asumsi!$C$4</f>
      </c>
      <c r="E9" s="4">
        <f>26*Asumsi!$C$4</f>
      </c>
      <c r="F9" t="s">
        <v>232</v>
      </c>
    </row>
    <row r="10" spans="1:5" x14ac:dyDescent="0.25">
      <c r="A10" t="s">
        <v>233</v>
      </c>
      <c r="B10" t="s">
        <v>234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235</v>
      </c>
      <c r="B11" t="s">
        <v>236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237</v>
      </c>
      <c r="B12" t="s">
        <v>238</v>
      </c>
      <c r="C12" s="4">
        <v>0</v>
      </c>
      <c r="D12" s="4">
        <v>0</v>
      </c>
      <c r="E12" s="4">
        <v>0</v>
      </c>
      <c r="F12" t="s">
        <v>239</v>
      </c>
    </row>
    <row r="13" spans="1:6" x14ac:dyDescent="0.25">
      <c r="A13" t="s">
        <v>240</v>
      </c>
      <c r="B13" t="s">
        <v>241</v>
      </c>
      <c r="C13" s="4">
        <v>0</v>
      </c>
      <c r="D13" s="4">
        <v>0</v>
      </c>
      <c r="E13" s="4">
        <v>0</v>
      </c>
      <c r="F13" t="s">
        <v>242</v>
      </c>
    </row>
    <row r="14" spans="1:6" x14ac:dyDescent="0.25">
      <c r="A14" t="s">
        <v>243</v>
      </c>
      <c r="B14" t="s">
        <v>244</v>
      </c>
      <c r="C14" s="4">
        <v>0</v>
      </c>
      <c r="D14" s="4">
        <v>0</v>
      </c>
      <c r="E14" s="4">
        <v>0</v>
      </c>
      <c r="F14" t="s">
        <v>245</v>
      </c>
    </row>
    <row r="15" spans="1:6" x14ac:dyDescent="0.25">
      <c r="A15" s="26" t="s">
        <v>246</v>
      </c>
      <c r="B15" s="26" t="s">
        <v>247</v>
      </c>
      <c r="C15" s="27">
        <f>SUM(C4:C14)+SUM(C22:C24)</f>
      </c>
      <c r="D15" s="27">
        <f>SUM(D4:D14)+SUM(D22:D24)</f>
      </c>
      <c r="E15" s="27">
        <f>SUM(E4:E14)+SUM(E22:E24)</f>
      </c>
      <c r="F15" s="26" t="s">
        <v>248</v>
      </c>
    </row>
    <row r="17" spans="1:6" x14ac:dyDescent="0.25">
      <c r="A17" s="6" t="s">
        <v>249</v>
      </c>
      <c r="B17" s="6"/>
      <c r="C17" s="6" t="s">
        <v>132</v>
      </c>
      <c r="D17" s="6" t="s">
        <v>133</v>
      </c>
      <c r="E17" s="6" t="s">
        <v>134</v>
      </c>
      <c r="F17" s="6"/>
    </row>
    <row r="18" spans="1:6" x14ac:dyDescent="0.25">
      <c r="A18" t="s">
        <v>250</v>
      </c>
      <c r="B18" t="s">
        <v>251</v>
      </c>
      <c r="C18" s="17">
        <f>Beban!C5*Asumsi!$C$21*Asumsi!$C$22*Asumsi!$C$25</f>
      </c>
      <c r="D18" s="17">
        <f>Beban!D5*Asumsi!$C$21*Asumsi!$C$22*Asumsi!$C$25</f>
      </c>
      <c r="E18" s="17">
        <f>Beban!E5*Asumsi!$C$21*Asumsi!$C$22*Asumsi!$C$25</f>
      </c>
      <c r="F18" t="s">
        <v>252</v>
      </c>
    </row>
    <row r="19" spans="1:5" x14ac:dyDescent="0.25">
      <c r="A19" t="s">
        <v>253</v>
      </c>
      <c r="B19" t="s">
        <v>254</v>
      </c>
      <c r="C19" s="17">
        <f>Beban!C5*Asumsi!$C$27*Asumsi!$C$26</f>
      </c>
      <c r="D19" s="17">
        <f>Beban!D5*Asumsi!$C$27*Asumsi!$C$26</f>
      </c>
      <c r="E19" s="17">
        <f>Beban!E5*Asumsi!$C$27*Asumsi!$C$26</f>
      </c>
    </row>
    <row r="21" spans="1:1" x14ac:dyDescent="0.25">
      <c r="A21" s="15" t="s">
        <v>255</v>
      </c>
    </row>
    <row r="22" spans="1:6" x14ac:dyDescent="0.25">
      <c r="A22" t="s">
        <v>256</v>
      </c>
      <c r="B22" t="s">
        <v>257</v>
      </c>
      <c r="C22" s="4">
        <f>Asumsi!$C$42*Asumsi!C43*Asumsi!$C$4/12</f>
      </c>
      <c r="D22" s="4">
        <f>Asumsi!$D$42*Asumsi!D43*Asumsi!$C$4/12</f>
      </c>
      <c r="E22" s="4">
        <f>Asumsi!$E$42*Asumsi!E43*Asumsi!$C$4/12</f>
      </c>
      <c r="F22" t="s">
        <v>258</v>
      </c>
    </row>
    <row r="23" spans="1:6" x14ac:dyDescent="0.25">
      <c r="A23" t="s">
        <v>259</v>
      </c>
      <c r="B23" t="s">
        <v>260</v>
      </c>
      <c r="C23" s="4">
        <f>Asumsi!C44*Asumsi!$C$4</f>
      </c>
      <c r="D23" s="4">
        <f>Asumsi!D44*Asumsi!$C$4</f>
      </c>
      <c r="E23" s="4">
        <f>Asumsi!E44*Asumsi!$C$4</f>
      </c>
      <c r="F23" t="s">
        <v>261</v>
      </c>
    </row>
    <row r="24" spans="1:6" x14ac:dyDescent="0.25">
      <c r="A24" t="s">
        <v>262</v>
      </c>
      <c r="B24" t="s">
        <v>263</v>
      </c>
      <c r="C24" s="4">
        <f>Asumsi!C45*Asumsi!$C$4</f>
      </c>
      <c r="D24" s="4">
        <f>Asumsi!D45*Asumsi!$C$4</f>
      </c>
      <c r="E24" s="4">
        <f>Asumsi!E45*Asumsi!$C$4</f>
      </c>
      <c r="F24" t="s">
        <v>264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265</v>
      </c>
      <c r="B1" s="10"/>
      <c r="C1" s="10"/>
      <c r="D1" s="10"/>
      <c r="E1" s="10"/>
    </row>
    <row r="3" spans="1:5" x14ac:dyDescent="0.25">
      <c r="A3" s="3" t="s">
        <v>156</v>
      </c>
      <c r="B3" s="3" t="s">
        <v>266</v>
      </c>
      <c r="C3" s="3" t="s">
        <v>267</v>
      </c>
      <c r="D3" s="3" t="s">
        <v>268</v>
      </c>
      <c r="E3" s="3" t="s">
        <v>269</v>
      </c>
    </row>
    <row r="4" spans="1:5" x14ac:dyDescent="0.25">
      <c r="A4" t="s">
        <v>270</v>
      </c>
      <c r="B4" t="s">
        <v>271</v>
      </c>
      <c r="C4" s="28">
        <v>150000</v>
      </c>
      <c r="D4" s="28">
        <v>350000</v>
      </c>
      <c r="E4" s="5">
        <f>AVERAGE(C4:D4)</f>
      </c>
    </row>
    <row r="5" spans="1:5" x14ac:dyDescent="0.25">
      <c r="A5" t="s">
        <v>272</v>
      </c>
      <c r="B5" t="s">
        <v>273</v>
      </c>
      <c r="C5" s="28">
        <v>400000</v>
      </c>
      <c r="D5" s="28">
        <v>800000</v>
      </c>
      <c r="E5" s="5">
        <f>AVERAGE(C5:D5)</f>
      </c>
    </row>
    <row r="6" spans="1:5" x14ac:dyDescent="0.25">
      <c r="A6" t="s">
        <v>274</v>
      </c>
      <c r="B6" t="s">
        <v>275</v>
      </c>
      <c r="C6" s="28">
        <v>1300000</v>
      </c>
      <c r="D6" s="28">
        <v>2600000</v>
      </c>
      <c r="E6" s="5">
        <f>AVERAGE(C6:D6)</f>
      </c>
    </row>
    <row r="7" spans="1:5" x14ac:dyDescent="0.25">
      <c r="A7" t="s">
        <v>276</v>
      </c>
      <c r="B7" t="s">
        <v>277</v>
      </c>
      <c r="C7" s="28">
        <v>5000000</v>
      </c>
      <c r="D7" s="28">
        <v>10000000</v>
      </c>
      <c r="E7" s="5">
        <f>AVERAGE(C7:D7)</f>
      </c>
    </row>
    <row r="8" spans="1:5" x14ac:dyDescent="0.25">
      <c r="A8" t="s">
        <v>278</v>
      </c>
      <c r="B8" t="s">
        <v>279</v>
      </c>
      <c r="C8" s="28">
        <v>250000</v>
      </c>
      <c r="D8" s="28">
        <v>500000</v>
      </c>
      <c r="E8" s="5">
        <f>AVERAGE(C8:D8)</f>
      </c>
    </row>
    <row r="10" spans="1:5" x14ac:dyDescent="0.25">
      <c r="A10" s="29" t="s">
        <v>280</v>
      </c>
      <c r="B10" s="29"/>
      <c r="C10" s="29"/>
      <c r="D10" s="29"/>
      <c r="E10" s="29"/>
    </row>
    <row r="11" spans="1:5" x14ac:dyDescent="0.25">
      <c r="A11" s="29" t="s">
        <v>2</v>
      </c>
      <c r="B11" s="29" t="s">
        <v>281</v>
      </c>
      <c r="C11" s="29"/>
      <c r="D11" s="29"/>
      <c r="E11" s="29" t="s">
        <v>282</v>
      </c>
    </row>
    <row r="12" spans="1:5" x14ac:dyDescent="0.25">
      <c r="A12" t="s">
        <v>116</v>
      </c>
      <c r="B12" t="s">
        <v>283</v>
      </c>
      <c r="E12" s="5">
        <f>E4+E5</f>
      </c>
    </row>
    <row r="13" spans="1:5" x14ac:dyDescent="0.25">
      <c r="A13" t="s">
        <v>117</v>
      </c>
      <c r="B13" t="s">
        <v>284</v>
      </c>
      <c r="E13" s="5">
        <f>E4+E6</f>
      </c>
    </row>
    <row r="14" spans="1:5" x14ac:dyDescent="0.25">
      <c r="A14" t="s">
        <v>118</v>
      </c>
      <c r="B14" t="s">
        <v>285</v>
      </c>
      <c r="E14" s="5">
        <f>E8+E7</f>
      </c>
    </row>
    <row r="16" spans="1:1" x14ac:dyDescent="0.25">
      <c r="A16" s="20" t="s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287</v>
      </c>
      <c r="B1" s="10"/>
      <c r="C1" s="10"/>
    </row>
    <row r="3" spans="1:3" x14ac:dyDescent="0.25">
      <c r="A3" s="3" t="s">
        <v>288</v>
      </c>
      <c r="B3" s="3" t="s">
        <v>289</v>
      </c>
      <c r="C3" s="3" t="s">
        <v>290</v>
      </c>
    </row>
    <row r="4" spans="1:3" x14ac:dyDescent="0.25">
      <c r="A4" t="s">
        <v>291</v>
      </c>
      <c r="B4" t="s">
        <v>292</v>
      </c>
      <c r="C4" s="4">
        <f>12*Server!E4</f>
      </c>
    </row>
    <row r="5" spans="1:3" x14ac:dyDescent="0.25">
      <c r="A5" t="s">
        <v>293</v>
      </c>
      <c r="B5" t="s">
        <v>294</v>
      </c>
      <c r="C5" s="4">
        <f>5*(Server!E5+Software!C15)</f>
      </c>
    </row>
    <row r="6" spans="1:3" x14ac:dyDescent="0.25">
      <c r="A6" t="s">
        <v>295</v>
      </c>
      <c r="B6" t="s">
        <v>296</v>
      </c>
      <c r="C6" s="4">
        <f>7*(Server!E6+Software!D15)</f>
      </c>
    </row>
    <row r="7" spans="1:3" x14ac:dyDescent="0.25">
      <c r="A7" t="s">
        <v>297</v>
      </c>
      <c r="B7" t="s">
        <v>298</v>
      </c>
      <c r="C7" s="4">
        <v>0</v>
      </c>
    </row>
    <row r="8" spans="1:3" x14ac:dyDescent="0.25">
      <c r="A8" s="30" t="s">
        <v>299</v>
      </c>
      <c r="B8" s="30" t="s">
        <v>300</v>
      </c>
      <c r="C8" s="31">
        <f>SUM(C4:C7)</f>
      </c>
    </row>
    <row r="9" spans="1:3" x14ac:dyDescent="0.25">
      <c r="A9" t="s">
        <v>301</v>
      </c>
      <c r="B9" t="s">
        <v>302</v>
      </c>
      <c r="C9" s="4">
        <f>C8*Asumsi!$C$19</f>
      </c>
    </row>
    <row r="10" spans="1:3" x14ac:dyDescent="0.25">
      <c r="A10" s="32" t="s">
        <v>303</v>
      </c>
      <c r="B10" s="32" t="s">
        <v>304</v>
      </c>
      <c r="C10" s="33">
        <f>C8+C9</f>
      </c>
    </row>
    <row r="11" spans="1:3" x14ac:dyDescent="0.25">
      <c r="A11" s="34" t="s">
        <v>305</v>
      </c>
      <c r="B11" s="34" t="s">
        <v>306</v>
      </c>
      <c r="C11" s="35" t="s">
        <v>307</v>
      </c>
    </row>
    <row r="12" spans="1:3" x14ac:dyDescent="0.25">
      <c r="A12" t="s">
        <v>308</v>
      </c>
      <c r="B12" t="s">
        <v>309</v>
      </c>
      <c r="C12" s="4">
        <f>C11-C10</f>
      </c>
    </row>
    <row r="14" spans="1:3" x14ac:dyDescent="0.25">
      <c r="A14" s="6" t="s">
        <v>310</v>
      </c>
      <c r="B14" s="6"/>
      <c r="C14" s="6"/>
    </row>
    <row r="15" spans="1:3" x14ac:dyDescent="0.25">
      <c r="A15" t="s">
        <v>311</v>
      </c>
      <c r="B15" t="s">
        <v>312</v>
      </c>
      <c r="C15" s="4">
        <f>3600*Asumsi!$C$4</f>
      </c>
    </row>
    <row r="16" spans="1:3" x14ac:dyDescent="0.25">
      <c r="A16" t="s">
        <v>313</v>
      </c>
      <c r="B16" t="s">
        <v>314</v>
      </c>
      <c r="C16" s="4">
        <f>12000*Asumsi!$C$4</f>
      </c>
    </row>
    <row r="17" spans="1:3" x14ac:dyDescent="0.25">
      <c r="A17" t="s">
        <v>315</v>
      </c>
      <c r="B17" t="s">
        <v>316</v>
      </c>
      <c r="C17" s="9">
        <f>C10/C15</f>
      </c>
    </row>
    <row r="18" spans="1:3" x14ac:dyDescent="0.25">
      <c r="A18" t="s">
        <v>317</v>
      </c>
      <c r="B18" t="s">
        <v>318</v>
      </c>
      <c r="C18" s="9">
        <f>C10/C16</f>
      </c>
    </row>
    <row r="20" spans="1:1" x14ac:dyDescent="0.25">
      <c r="A20" s="20" t="s">
        <v>319</v>
      </c>
    </row>
    <row r="22" spans="1:3" x14ac:dyDescent="0.25">
      <c r="A22" s="6" t="s">
        <v>320</v>
      </c>
      <c r="B22" s="6"/>
      <c r="C22" s="6"/>
    </row>
    <row r="23" spans="1:3" x14ac:dyDescent="0.25">
      <c r="A23" t="s">
        <v>321</v>
      </c>
      <c r="B23" t="s">
        <v>322</v>
      </c>
      <c r="C23" s="4">
        <f>12*Server!E4+3*(Server!E5+Software!C15)+9*(Server!E6+Software!D15)</f>
      </c>
    </row>
    <row r="24" spans="1:3" x14ac:dyDescent="0.25">
      <c r="A24" t="s">
        <v>301</v>
      </c>
      <c r="B24" t="s">
        <v>323</v>
      </c>
      <c r="C24" s="4">
        <f>C23*Asumsi!$C$19</f>
      </c>
    </row>
    <row r="25" spans="1:3" x14ac:dyDescent="0.25">
      <c r="A25" s="18" t="s">
        <v>324</v>
      </c>
      <c r="B25" s="18" t="s">
        <v>304</v>
      </c>
      <c r="C25" s="5">
        <f>C23+C24</f>
      </c>
    </row>
    <row r="26" spans="1:3" x14ac:dyDescent="0.25">
      <c r="A26" t="s">
        <v>325</v>
      </c>
      <c r="B26" t="s">
        <v>326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327</v>
      </c>
      <c r="B1" s="10"/>
      <c r="C1" s="10"/>
      <c r="D1" s="10"/>
    </row>
    <row r="3" spans="1:4" x14ac:dyDescent="0.25">
      <c r="A3" s="3" t="s">
        <v>328</v>
      </c>
      <c r="B3" s="3" t="s">
        <v>329</v>
      </c>
      <c r="C3" s="3" t="s">
        <v>330</v>
      </c>
      <c r="D3" s="3" t="s">
        <v>158</v>
      </c>
    </row>
    <row r="4" spans="1:4" x14ac:dyDescent="0.25">
      <c r="A4" t="s">
        <v>331</v>
      </c>
      <c r="B4" t="s">
        <v>332</v>
      </c>
      <c r="C4" t="s">
        <v>333</v>
      </c>
      <c r="D4" t="s">
        <v>334</v>
      </c>
    </row>
    <row r="5" spans="1:4" x14ac:dyDescent="0.25">
      <c r="A5" t="s">
        <v>335</v>
      </c>
      <c r="B5" t="s">
        <v>336</v>
      </c>
      <c r="C5" t="s">
        <v>333</v>
      </c>
      <c r="D5" t="s">
        <v>337</v>
      </c>
    </row>
    <row r="6" spans="1:4" x14ac:dyDescent="0.25">
      <c r="A6" t="s">
        <v>338</v>
      </c>
      <c r="B6" t="s">
        <v>339</v>
      </c>
      <c r="C6" t="s">
        <v>340</v>
      </c>
      <c r="D6" t="s">
        <v>341</v>
      </c>
    </row>
    <row r="7" spans="1:4" x14ac:dyDescent="0.25">
      <c r="A7" t="s">
        <v>342</v>
      </c>
      <c r="B7" t="s">
        <v>343</v>
      </c>
      <c r="C7" t="s">
        <v>344</v>
      </c>
      <c r="D7" t="s">
        <v>345</v>
      </c>
    </row>
    <row r="9" spans="1:4" x14ac:dyDescent="0.25">
      <c r="A9" s="18" t="s">
        <v>346</v>
      </c>
      <c r="B9" s="18"/>
      <c r="C9" s="18"/>
      <c r="D9" s="18"/>
    </row>
    <row r="11" spans="1:4" x14ac:dyDescent="0.25">
      <c r="A11" s="6" t="s">
        <v>347</v>
      </c>
      <c r="B11" s="6"/>
      <c r="C11" s="6"/>
      <c r="D11" s="6"/>
    </row>
    <row r="12" spans="1:1" x14ac:dyDescent="0.25">
      <c r="A12" t="s">
        <v>348</v>
      </c>
    </row>
    <row r="13" spans="1:1" x14ac:dyDescent="0.25">
      <c r="A13" t="s">
        <v>349</v>
      </c>
    </row>
    <row r="14" spans="1:1" x14ac:dyDescent="0.25">
      <c r="A14" t="s">
        <v>350</v>
      </c>
    </row>
    <row r="15" spans="1:1" x14ac:dyDescent="0.25">
      <c r="A15" t="s">
        <v>351</v>
      </c>
    </row>
    <row r="16" spans="1:1" x14ac:dyDescent="0.25">
      <c r="A16" t="s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353</v>
      </c>
      <c r="B1" s="10"/>
      <c r="C1" s="10"/>
      <c r="D1" s="10"/>
    </row>
    <row r="3" spans="1:4" x14ac:dyDescent="0.25">
      <c r="A3" s="3" t="s">
        <v>354</v>
      </c>
      <c r="B3" s="3" t="s">
        <v>355</v>
      </c>
      <c r="C3" s="3" t="s">
        <v>356</v>
      </c>
      <c r="D3" s="3" t="s">
        <v>158</v>
      </c>
    </row>
    <row r="4" spans="1:4" x14ac:dyDescent="0.25">
      <c r="A4" t="s">
        <v>357</v>
      </c>
      <c r="B4" t="s">
        <v>358</v>
      </c>
      <c r="C4" s="28">
        <v>150000000</v>
      </c>
      <c r="D4" t="s">
        <v>359</v>
      </c>
    </row>
    <row r="5" spans="1:4" x14ac:dyDescent="0.25">
      <c r="A5" t="s">
        <v>360</v>
      </c>
      <c r="B5" t="s">
        <v>361</v>
      </c>
      <c r="C5" s="28">
        <v>40000000</v>
      </c>
      <c r="D5" t="s">
        <v>362</v>
      </c>
    </row>
    <row r="6" spans="1:4" x14ac:dyDescent="0.25">
      <c r="A6" t="s">
        <v>363</v>
      </c>
      <c r="C6" s="28">
        <v>20000000</v>
      </c>
      <c r="D6" t="s">
        <v>364</v>
      </c>
    </row>
    <row r="7" spans="1:4" x14ac:dyDescent="0.25">
      <c r="A7" t="s">
        <v>365</v>
      </c>
      <c r="B7" t="s">
        <v>366</v>
      </c>
      <c r="C7" s="28">
        <v>20000000</v>
      </c>
      <c r="D7" t="s">
        <v>367</v>
      </c>
    </row>
    <row r="8" spans="1:4" x14ac:dyDescent="0.25">
      <c r="A8" s="18" t="s">
        <v>368</v>
      </c>
      <c r="B8" s="18" t="s">
        <v>198</v>
      </c>
      <c r="C8" s="5">
        <f>SUM(C4:C7)</f>
      </c>
      <c r="D8" s="18" t="s">
        <v>369</v>
      </c>
    </row>
    <row r="9" spans="1:3" x14ac:dyDescent="0.25">
      <c r="A9" t="s">
        <v>370</v>
      </c>
      <c r="B9" t="s">
        <v>371</v>
      </c>
      <c r="C9" s="36">
        <v>4</v>
      </c>
    </row>
    <row r="10" spans="1:3" x14ac:dyDescent="0.25">
      <c r="A10" t="s">
        <v>372</v>
      </c>
      <c r="B10" t="s">
        <v>373</v>
      </c>
      <c r="C10" s="4">
        <f>C8/(C9*12)</f>
      </c>
    </row>
    <row r="12" spans="1:4" x14ac:dyDescent="0.25">
      <c r="A12" s="3" t="s">
        <v>374</v>
      </c>
      <c r="B12" s="3" t="s">
        <v>355</v>
      </c>
      <c r="C12" s="3" t="s">
        <v>375</v>
      </c>
      <c r="D12" s="3" t="s">
        <v>158</v>
      </c>
    </row>
    <row r="13" spans="1:4" x14ac:dyDescent="0.25">
      <c r="A13" t="s">
        <v>376</v>
      </c>
      <c r="B13" t="s">
        <v>377</v>
      </c>
      <c r="C13" s="28">
        <v>4500000</v>
      </c>
      <c r="D13" t="s">
        <v>378</v>
      </c>
    </row>
    <row r="14" spans="1:4" x14ac:dyDescent="0.25">
      <c r="A14" t="s">
        <v>379</v>
      </c>
      <c r="B14" t="s">
        <v>380</v>
      </c>
      <c r="C14" s="28">
        <v>6500000</v>
      </c>
      <c r="D14" t="s">
        <v>381</v>
      </c>
    </row>
    <row r="15" spans="1:3" x14ac:dyDescent="0.25">
      <c r="A15" t="s">
        <v>382</v>
      </c>
      <c r="B15" t="s">
        <v>383</v>
      </c>
      <c r="C15" s="28">
        <v>500000</v>
      </c>
    </row>
    <row r="16" spans="1:4" x14ac:dyDescent="0.25">
      <c r="A16" s="18" t="s">
        <v>384</v>
      </c>
      <c r="B16" s="18" t="s">
        <v>198</v>
      </c>
      <c r="C16" s="5">
        <f>SUM(C13:C15)</f>
      </c>
      <c r="D16" s="18" t="s">
        <v>385</v>
      </c>
    </row>
    <row r="18" spans="1:4" x14ac:dyDescent="0.25">
      <c r="A18" s="6" t="s">
        <v>386</v>
      </c>
      <c r="B18" s="6"/>
      <c r="C18" s="6"/>
      <c r="D18" s="6"/>
    </row>
    <row r="19" spans="1:4" x14ac:dyDescent="0.25">
      <c r="A19" t="s">
        <v>387</v>
      </c>
      <c r="B19" t="s">
        <v>388</v>
      </c>
      <c r="C19" s="4">
        <f>C16+C10</f>
      </c>
      <c r="D19" t="s">
        <v>389</v>
      </c>
    </row>
    <row r="20" spans="1:3" x14ac:dyDescent="0.25">
      <c r="A20" t="s">
        <v>390</v>
      </c>
      <c r="B20" t="s">
        <v>391</v>
      </c>
      <c r="C20" s="4">
        <f>Ringkasan!E7</f>
      </c>
    </row>
    <row r="21" spans="1:3" x14ac:dyDescent="0.25">
      <c r="A21" t="s">
        <v>392</v>
      </c>
      <c r="B21" t="s">
        <v>393</v>
      </c>
      <c r="C21" s="4">
        <f>C20-C19</f>
      </c>
    </row>
    <row r="22" spans="1:3" x14ac:dyDescent="0.25">
      <c r="A22" t="s">
        <v>394</v>
      </c>
      <c r="B22" t="s">
        <v>395</v>
      </c>
      <c r="C22">
        <f>IF(C23-C19&gt;0,C8/(C23-C19),"—")</f>
      </c>
    </row>
    <row r="23" spans="1:4" x14ac:dyDescent="0.25">
      <c r="A23" t="s">
        <v>396</v>
      </c>
      <c r="B23" t="s">
        <v>397</v>
      </c>
      <c r="C23" s="28">
        <v>25000000</v>
      </c>
      <c r="D23" t="s">
        <v>398</v>
      </c>
    </row>
    <row r="25" spans="1:4" x14ac:dyDescent="0.25">
      <c r="A25" s="3" t="s">
        <v>399</v>
      </c>
      <c r="B25" s="3"/>
      <c r="C25" s="3"/>
      <c r="D25" s="3"/>
    </row>
    <row r="26" spans="1:4" x14ac:dyDescent="0.25">
      <c r="A26" s="18" t="s">
        <v>3</v>
      </c>
      <c r="B26" s="18" t="s">
        <v>400</v>
      </c>
      <c r="C26" s="18" t="s">
        <v>401</v>
      </c>
      <c r="D26" s="18" t="s">
        <v>158</v>
      </c>
    </row>
    <row r="27" spans="1:4" x14ac:dyDescent="0.25">
      <c r="A27" t="s">
        <v>402</v>
      </c>
      <c r="B27" t="s">
        <v>403</v>
      </c>
      <c r="C27" s="4">
        <f>Anggaran12Bln!C11</f>
      </c>
      <c r="D27" t="s">
        <v>404</v>
      </c>
    </row>
    <row r="28" spans="1:4" x14ac:dyDescent="0.25">
      <c r="A28" t="s">
        <v>405</v>
      </c>
      <c r="B28" t="s">
        <v>406</v>
      </c>
      <c r="C28" s="4">
        <f>(5*Ringkasan!E6+7*Ringkasan!E7)*(1+Asumsi!$C$19)</f>
      </c>
      <c r="D28" t="s">
        <v>407</v>
      </c>
    </row>
    <row r="29" spans="1:4" x14ac:dyDescent="0.25">
      <c r="A29" t="s">
        <v>408</v>
      </c>
      <c r="B29" t="s">
        <v>409</v>
      </c>
      <c r="C29" s="4">
        <f>(8*Ringkasan!E7+C8+4*(C16+SUM(Software!E22:E24)))*(1+Asumsi!$C$19)</f>
      </c>
      <c r="D29" t="s">
        <v>410</v>
      </c>
    </row>
    <row r="30" spans="1:4" x14ac:dyDescent="0.25">
      <c r="A30" s="7" t="s">
        <v>411</v>
      </c>
      <c r="B30" s="7" t="s">
        <v>412</v>
      </c>
      <c r="C30" s="8">
        <f>SUM(C27:C29)</f>
      </c>
      <c r="D30" s="7" t="s">
        <v>413</v>
      </c>
    </row>
    <row r="31" spans="1:4" x14ac:dyDescent="0.25">
      <c r="A31" t="s">
        <v>414</v>
      </c>
      <c r="B31" t="s">
        <v>415</v>
      </c>
      <c r="C31" s="4">
        <f>(C16+C10+SUM(Software!E22:E24))*12</f>
      </c>
      <c r="D31" t="s">
        <v>416</v>
      </c>
    </row>
    <row r="32" spans="1:3" x14ac:dyDescent="0.25">
      <c r="A32" t="s">
        <v>417</v>
      </c>
      <c r="B32" t="s">
        <v>418</v>
      </c>
      <c r="C32" s="4">
        <f>(3600+12000+36000)*Asumsi!$C$4</f>
      </c>
    </row>
    <row r="33" spans="1:3" x14ac:dyDescent="0.25">
      <c r="A33" t="s">
        <v>419</v>
      </c>
      <c r="B33" t="s">
        <v>420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FormatPr defaultRowHeight="15" outlineLevelRow="0" outlineLevelCol="0" x14ac:dyDescent="55"/>
  <cols>
    <col min="1" max="1" width="52" customWidth="1"/>
    <col min="2" max="2" width="16" customWidth="1"/>
    <col min="3" max="3" width="10" customWidth="1"/>
    <col min="4" max="4" width="11" customWidth="1"/>
    <col min="5" max="6" width="10" customWidth="1"/>
    <col min="7" max="7" width="13" customWidth="1"/>
    <col min="8" max="8" width="15" customWidth="1"/>
    <col min="9" max="10" width="14" customWidth="1"/>
  </cols>
  <sheetData>
    <row r="1" spans="1:1" x14ac:dyDescent="0.25">
      <c r="A1" s="37" t="s">
        <v>421</v>
      </c>
    </row>
    <row r="2" spans="1:1" x14ac:dyDescent="0.25">
      <c r="A2" s="2" t="s">
        <v>422</v>
      </c>
    </row>
    <row r="4" spans="1:1" x14ac:dyDescent="0.25">
      <c r="A4" s="15" t="s">
        <v>423</v>
      </c>
    </row>
    <row r="5" spans="1:2" x14ac:dyDescent="0.25">
      <c r="A5" t="s">
        <v>424</v>
      </c>
      <c r="B5" s="16">
        <v>1.2</v>
      </c>
    </row>
    <row r="6" spans="1:2" x14ac:dyDescent="0.25">
      <c r="A6" t="s">
        <v>425</v>
      </c>
      <c r="B6" s="16">
        <v>10</v>
      </c>
    </row>
    <row r="7" spans="1:2" x14ac:dyDescent="0.25">
      <c r="A7" t="s">
        <v>426</v>
      </c>
      <c r="B7" s="16">
        <v>20</v>
      </c>
    </row>
    <row r="8" spans="1:2" x14ac:dyDescent="0.25">
      <c r="A8" t="s">
        <v>427</v>
      </c>
      <c r="B8" s="16">
        <v>3</v>
      </c>
    </row>
    <row r="9" spans="1:2" x14ac:dyDescent="0.25">
      <c r="A9" t="s">
        <v>428</v>
      </c>
      <c r="B9" s="16">
        <v>16000</v>
      </c>
    </row>
    <row r="11" spans="1:1" x14ac:dyDescent="0.25">
      <c r="A11" s="15" t="s">
        <v>429</v>
      </c>
    </row>
    <row r="12" spans="1:10" x14ac:dyDescent="0.25">
      <c r="A12" s="38" t="s">
        <v>20</v>
      </c>
      <c r="B12" s="38" t="s">
        <v>430</v>
      </c>
      <c r="C12" s="38" t="s">
        <v>431</v>
      </c>
      <c r="D12" s="38" t="s">
        <v>432</v>
      </c>
      <c r="E12" s="38" t="s">
        <v>433</v>
      </c>
      <c r="F12" s="38" t="s">
        <v>434</v>
      </c>
      <c r="G12" s="38" t="s">
        <v>435</v>
      </c>
      <c r="H12" s="38" t="s">
        <v>436</v>
      </c>
      <c r="I12" s="38" t="s">
        <v>437</v>
      </c>
      <c r="J12" s="38" t="s">
        <v>438</v>
      </c>
    </row>
    <row r="13" spans="1:10" x14ac:dyDescent="0.25">
      <c r="A13" t="s">
        <v>439</v>
      </c>
      <c r="B13" t="s">
        <v>440</v>
      </c>
      <c r="C13" s="39">
        <v>14</v>
      </c>
      <c r="D13" s="39">
        <v>1</v>
      </c>
      <c r="E13" s="39">
        <v>1</v>
      </c>
      <c r="F13" s="39">
        <v>1</v>
      </c>
      <c r="G13" s="21">
        <f>C13*$B$5</f>
      </c>
      <c r="H13" s="21">
        <f>G13*D13</f>
      </c>
      <c r="I13" s="21">
        <f>G13*E13</f>
      </c>
      <c r="J13" s="21">
        <f>G13*F13</f>
      </c>
    </row>
    <row r="14" spans="1:10" x14ac:dyDescent="0.25">
      <c r="A14" t="s">
        <v>441</v>
      </c>
      <c r="B14" t="s">
        <v>442</v>
      </c>
      <c r="C14" s="39">
        <v>7</v>
      </c>
      <c r="D14" s="39">
        <v>1</v>
      </c>
      <c r="E14" s="39">
        <v>1</v>
      </c>
      <c r="F14" s="39">
        <v>1</v>
      </c>
      <c r="G14" s="21">
        <f>C14*$B$5</f>
      </c>
      <c r="H14" s="21">
        <f>G14*D14</f>
      </c>
      <c r="I14" s="21">
        <f>G14*E14</f>
      </c>
      <c r="J14" s="21">
        <f>G14*F14</f>
      </c>
    </row>
    <row r="15" spans="1:10" x14ac:dyDescent="0.25">
      <c r="A15" t="s">
        <v>443</v>
      </c>
      <c r="B15" t="s">
        <v>444</v>
      </c>
      <c r="C15" s="39">
        <v>8</v>
      </c>
      <c r="D15" s="39">
        <v>1</v>
      </c>
      <c r="E15" s="39">
        <v>2</v>
      </c>
      <c r="F15" s="39">
        <v>4</v>
      </c>
      <c r="G15" s="21">
        <f>C15*$B$5</f>
      </c>
      <c r="H15" s="21">
        <f>G15*D15</f>
      </c>
      <c r="I15" s="21">
        <f>G15*E15</f>
      </c>
      <c r="J15" s="21">
        <f>G15*F15</f>
      </c>
    </row>
    <row r="16" spans="1:10" x14ac:dyDescent="0.25">
      <c r="A16" t="s">
        <v>445</v>
      </c>
      <c r="B16" t="s">
        <v>446</v>
      </c>
      <c r="C16" s="39">
        <v>9</v>
      </c>
      <c r="D16" s="39">
        <v>1</v>
      </c>
      <c r="E16" s="39">
        <v>2</v>
      </c>
      <c r="F16" s="39">
        <v>2</v>
      </c>
      <c r="G16" s="21">
        <f>C16*$B$5</f>
      </c>
      <c r="H16" s="21">
        <f>G16*D16</f>
      </c>
      <c r="I16" s="21">
        <f>G16*E16</f>
      </c>
      <c r="J16" s="21">
        <f>G16*F16</f>
      </c>
    </row>
    <row r="17" spans="1:10" x14ac:dyDescent="0.25">
      <c r="A17" t="s">
        <v>447</v>
      </c>
      <c r="B17" t="s">
        <v>448</v>
      </c>
      <c r="C17" s="39">
        <v>15</v>
      </c>
      <c r="D17" s="39">
        <v>0</v>
      </c>
      <c r="E17" s="39">
        <v>1</v>
      </c>
      <c r="F17" s="39">
        <v>1</v>
      </c>
      <c r="G17" s="21">
        <f>C17*$B$5</f>
      </c>
      <c r="H17" s="21">
        <f>G17*D17</f>
      </c>
      <c r="I17" s="21">
        <f>G17*E17</f>
      </c>
      <c r="J17" s="21">
        <f>G17*F17</f>
      </c>
    </row>
    <row r="18" spans="1:10" x14ac:dyDescent="0.25">
      <c r="A18" t="s">
        <v>449</v>
      </c>
      <c r="B18" t="s">
        <v>450</v>
      </c>
      <c r="C18" s="39">
        <v>14</v>
      </c>
      <c r="D18" s="39">
        <v>0</v>
      </c>
      <c r="E18" s="39">
        <v>1</v>
      </c>
      <c r="F18" s="39">
        <v>1</v>
      </c>
      <c r="G18" s="21">
        <f>C18*$B$5</f>
      </c>
      <c r="H18" s="21">
        <f>G18*D18</f>
      </c>
      <c r="I18" s="21">
        <f>G18*E18</f>
      </c>
      <c r="J18" s="21">
        <f>G18*F18</f>
      </c>
    </row>
    <row r="19" spans="1:10" x14ac:dyDescent="0.25">
      <c r="A19" t="s">
        <v>451</v>
      </c>
      <c r="B19" t="s">
        <v>452</v>
      </c>
      <c r="C19" s="39">
        <v>6.5</v>
      </c>
      <c r="D19" s="39">
        <v>0</v>
      </c>
      <c r="E19" s="39">
        <v>1</v>
      </c>
      <c r="F19" s="39">
        <v>2</v>
      </c>
      <c r="G19" s="21">
        <f>C19*$B$5</f>
      </c>
      <c r="H19" s="21">
        <f>G19*D19</f>
      </c>
      <c r="I19" s="21">
        <f>G19*E19</f>
      </c>
      <c r="J19" s="21">
        <f>G19*F19</f>
      </c>
    </row>
    <row r="20" spans="1:10" x14ac:dyDescent="0.25">
      <c r="A20" t="s">
        <v>453</v>
      </c>
      <c r="B20" t="s">
        <v>454</v>
      </c>
      <c r="C20" s="39">
        <v>8</v>
      </c>
      <c r="D20" s="39">
        <v>0</v>
      </c>
      <c r="E20" s="39">
        <v>1</v>
      </c>
      <c r="F20" s="39">
        <v>2</v>
      </c>
      <c r="G20" s="21">
        <f>C20*$B$5</f>
      </c>
      <c r="H20" s="21">
        <f>G20*D20</f>
      </c>
      <c r="I20" s="21">
        <f>G20*E20</f>
      </c>
      <c r="J20" s="21">
        <f>G20*F20</f>
      </c>
    </row>
    <row r="21" spans="1:10" x14ac:dyDescent="0.25">
      <c r="A21" t="s">
        <v>455</v>
      </c>
      <c r="B21" t="s">
        <v>456</v>
      </c>
      <c r="C21" s="39">
        <v>7</v>
      </c>
      <c r="D21" s="39">
        <v>0</v>
      </c>
      <c r="E21" s="39">
        <v>1</v>
      </c>
      <c r="F21" s="39">
        <v>1</v>
      </c>
      <c r="G21" s="21">
        <f>C21*$B$5</f>
      </c>
      <c r="H21" s="21">
        <f>G21*D21</f>
      </c>
      <c r="I21" s="21">
        <f>G21*E21</f>
      </c>
      <c r="J21" s="21">
        <f>G21*F21</f>
      </c>
    </row>
    <row r="22" spans="1:10" x14ac:dyDescent="0.25">
      <c r="A22" t="s">
        <v>457</v>
      </c>
      <c r="B22" t="s">
        <v>458</v>
      </c>
      <c r="C22" s="39">
        <v>15</v>
      </c>
      <c r="D22" s="39">
        <v>0</v>
      </c>
      <c r="E22" s="39">
        <v>0</v>
      </c>
      <c r="F22" s="39">
        <v>1</v>
      </c>
      <c r="G22" s="21">
        <f>C22*$B$5</f>
      </c>
      <c r="H22" s="21">
        <f>G22*D22</f>
      </c>
      <c r="I22" s="21">
        <f>G22*E22</f>
      </c>
      <c r="J22" s="21">
        <f>G22*F22</f>
      </c>
    </row>
    <row r="23" spans="1:10" x14ac:dyDescent="0.25">
      <c r="A23" t="s">
        <v>459</v>
      </c>
      <c r="B23" t="s">
        <v>460</v>
      </c>
      <c r="C23" s="39">
        <v>16</v>
      </c>
      <c r="D23" s="39">
        <v>0</v>
      </c>
      <c r="E23" s="39">
        <v>0</v>
      </c>
      <c r="F23" s="39">
        <v>1</v>
      </c>
      <c r="G23" s="21">
        <f>C23*$B$5</f>
      </c>
      <c r="H23" s="21">
        <f>G23*D23</f>
      </c>
      <c r="I23" s="21">
        <f>G23*E23</f>
      </c>
      <c r="J23" s="21">
        <f>G23*F23</f>
      </c>
    </row>
    <row r="24" spans="1:10" x14ac:dyDescent="0.25">
      <c r="A24" t="s">
        <v>461</v>
      </c>
      <c r="B24" t="s">
        <v>462</v>
      </c>
      <c r="C24" s="39">
        <v>10</v>
      </c>
      <c r="D24" s="39">
        <v>0</v>
      </c>
      <c r="E24" s="39">
        <v>0</v>
      </c>
      <c r="F24" s="39">
        <v>1</v>
      </c>
      <c r="G24" s="21">
        <f>C24*$B$5</f>
      </c>
      <c r="H24" s="21">
        <f>G24*D24</f>
      </c>
      <c r="I24" s="21">
        <f>G24*E24</f>
      </c>
      <c r="J24" s="21">
        <f>G24*F24</f>
      </c>
    </row>
    <row r="25" spans="1:10" x14ac:dyDescent="0.25">
      <c r="A25" t="s">
        <v>463</v>
      </c>
      <c r="B25" t="s">
        <v>464</v>
      </c>
      <c r="C25" s="39">
        <v>12</v>
      </c>
      <c r="D25" s="39">
        <v>0</v>
      </c>
      <c r="E25" s="39">
        <v>0</v>
      </c>
      <c r="F25" s="39">
        <v>1</v>
      </c>
      <c r="G25" s="21">
        <f>C25*$B$5</f>
      </c>
      <c r="H25" s="21">
        <f>G25*D25</f>
      </c>
      <c r="I25" s="21">
        <f>G25*E25</f>
      </c>
      <c r="J25" s="21">
        <f>G25*F25</f>
      </c>
    </row>
    <row r="26" spans="1:10" x14ac:dyDescent="0.25">
      <c r="A26" t="s">
        <v>465</v>
      </c>
      <c r="B26" t="s">
        <v>466</v>
      </c>
      <c r="C26" s="39">
        <v>16</v>
      </c>
      <c r="D26" s="39">
        <v>0</v>
      </c>
      <c r="E26" s="39">
        <v>0</v>
      </c>
      <c r="F26" s="39">
        <v>1</v>
      </c>
      <c r="G26" s="21">
        <f>C26*$B$5</f>
      </c>
      <c r="H26" s="21">
        <f>G26*D26</f>
      </c>
      <c r="I26" s="21">
        <f>G26*E26</f>
      </c>
      <c r="J26" s="21">
        <f>G26*F26</f>
      </c>
    </row>
    <row r="27" spans="1:10" x14ac:dyDescent="0.25">
      <c r="A27" t="s">
        <v>467</v>
      </c>
      <c r="B27" t="s">
        <v>468</v>
      </c>
      <c r="D27">
        <v>3</v>
      </c>
      <c r="E27">
        <v>3</v>
      </c>
      <c r="F27">
        <v>3</v>
      </c>
      <c r="H27" s="21">
        <f>$B$8*$B$6*$B$5</f>
      </c>
      <c r="I27" s="21">
        <f>$B$8*$B$6*$B$5</f>
      </c>
      <c r="J27" s="21">
        <f>$B$8*$B$7*$B$5</f>
      </c>
    </row>
    <row r="28" spans="8:10" x14ac:dyDescent="0.25">
      <c r="H28" s="21"/>
      <c r="I28" s="21"/>
      <c r="J28" s="21"/>
    </row>
    <row r="29" spans="1:10" x14ac:dyDescent="0.25">
      <c r="A29" s="15" t="s">
        <v>469</v>
      </c>
      <c r="H29" s="21"/>
      <c r="I29" s="21"/>
      <c r="J29" s="21"/>
    </row>
    <row r="30" spans="1:10" x14ac:dyDescent="0.25">
      <c r="A30" s="18" t="s">
        <v>470</v>
      </c>
      <c r="B30" s="18"/>
      <c r="C30" s="18"/>
      <c r="D30" s="18">
        <f>SUM(D13:D26)+$B$8</f>
      </c>
      <c r="E30" s="18">
        <f>SUM(E13:E26)+$B$8</f>
      </c>
      <c r="F30" s="18">
        <f>SUM(F13:F26)+$B$8</f>
      </c>
      <c r="G30" s="18"/>
      <c r="H30" s="22"/>
      <c r="I30" s="22"/>
      <c r="J30" s="22"/>
    </row>
    <row r="31" spans="1:10" x14ac:dyDescent="0.25">
      <c r="A31" s="18" t="s">
        <v>471</v>
      </c>
      <c r="B31" s="18"/>
      <c r="C31" s="18"/>
      <c r="D31" s="18"/>
      <c r="E31" s="18"/>
      <c r="F31" s="18"/>
      <c r="G31" s="18"/>
      <c r="H31" s="22">
        <f>SUM(H13:H27)</f>
      </c>
      <c r="I31" s="22">
        <f>SUM(I13:I27)</f>
      </c>
      <c r="J31" s="22">
        <f>SUM(J13:J27)</f>
      </c>
    </row>
    <row r="33" spans="1:1" x14ac:dyDescent="0.25">
      <c r="A33" s="15" t="s">
        <v>472</v>
      </c>
    </row>
    <row r="34" spans="1:7" x14ac:dyDescent="0.25">
      <c r="A34" t="s">
        <v>473</v>
      </c>
      <c r="B34" s="17">
        <f>5*H31</f>
      </c>
      <c r="D34" t="s">
        <v>474</v>
      </c>
      <c r="E34" s="17">
        <f>36000*$B$9/1000000</f>
      </c>
      <c r="F34" t="s">
        <v>475</v>
      </c>
      <c r="G34" s="40">
        <f>B34/E34</f>
      </c>
    </row>
    <row r="35" spans="1:7" x14ac:dyDescent="0.25">
      <c r="A35" t="s">
        <v>476</v>
      </c>
      <c r="B35" s="17">
        <f>3*(H31+G17+G18)+3*(H31+G17+G18+G19+G15+G20)+6*I31</f>
      </c>
      <c r="D35" t="s">
        <v>477</v>
      </c>
      <c r="E35" s="17">
        <f>120000*$B$9/1000000</f>
      </c>
      <c r="F35" t="s">
        <v>475</v>
      </c>
      <c r="G35" s="40">
        <f>B35/E35</f>
      </c>
    </row>
    <row r="36" spans="1:7" x14ac:dyDescent="0.25">
      <c r="A36" t="s">
        <v>478</v>
      </c>
      <c r="B36" s="17">
        <f>12*J31</f>
      </c>
      <c r="D36" t="s">
        <v>479</v>
      </c>
      <c r="E36" s="17">
        <f>360000*$B$9/1000000</f>
      </c>
      <c r="F36" t="s">
        <v>475</v>
      </c>
      <c r="G36" s="40">
        <f>B36/E36</f>
      </c>
    </row>
    <row r="37" spans="1:7" x14ac:dyDescent="0.25">
      <c r="A37" t="s">
        <v>480</v>
      </c>
      <c r="B37" s="17">
        <f>B34+B35+B36</f>
      </c>
      <c r="D37" t="s">
        <v>481</v>
      </c>
      <c r="E37" s="17">
        <f>E34+E35+E36</f>
      </c>
      <c r="F37" t="s">
        <v>475</v>
      </c>
      <c r="G37" s="40">
        <f>B37/E37</f>
      </c>
    </row>
    <row r="39" spans="1:1" x14ac:dyDescent="0.25">
      <c r="A39" s="15" t="s">
        <v>482</v>
      </c>
    </row>
    <row r="40" spans="1:2" x14ac:dyDescent="0.25">
      <c r="A40" t="s">
        <v>483</v>
      </c>
      <c r="B40" s="17">
        <f>5*H31+3*(H31+G17+G18)+3*(H31+G17+G18+G19+G15+G20)+1*I31</f>
      </c>
    </row>
    <row r="41" spans="1:5" x14ac:dyDescent="0.25">
      <c r="A41" t="s">
        <v>484</v>
      </c>
      <c r="B41" s="41">
        <v>1500</v>
      </c>
      <c r="D41" t="s">
        <v>485</v>
      </c>
      <c r="E41" s="40">
        <f>B40/B41</f>
      </c>
    </row>
    <row r="43" spans="1:1" x14ac:dyDescent="0.25">
      <c r="A43" s="15" t="s">
        <v>486</v>
      </c>
    </row>
    <row r="44" spans="1:1" x14ac:dyDescent="0.25">
      <c r="A44" t="s">
        <v>487</v>
      </c>
    </row>
    <row r="45" spans="1:3" x14ac:dyDescent="0.25">
      <c r="A45" t="s">
        <v>488</v>
      </c>
      <c r="B45">
        <f>0.5*G17</f>
      </c>
      <c r="C45" t="s">
        <v>489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  <vt:lpstr>SDM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